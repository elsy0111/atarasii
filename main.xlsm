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pp01\Documents\atarasii\"/>
    </mc:Choice>
  </mc:AlternateContent>
  <xr:revisionPtr revIDLastSave="0" documentId="13_ncr:1_{08C8F56D-10B7-4DC7-9319-C5107C4B9280}" xr6:coauthVersionLast="47" xr6:coauthVersionMax="47" xr10:uidLastSave="{00000000-0000-0000-0000-000000000000}"/>
  <bookViews>
    <workbookView xWindow="-110" yWindow="-110" windowWidth="25820" windowHeight="14620" activeTab="2" xr2:uid="{00000000-000D-0000-FFFF-FFFF00000000}"/>
  </bookViews>
  <sheets>
    <sheet name="ビンゴ" sheetId="1" r:id="rId1"/>
    <sheet name="画像,乱数" sheetId="3" r:id="rId2"/>
    <sheet name="結果" sheetId="4" r:id="rId3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75" i="3" l="1"/>
  <c r="M75" i="3"/>
  <c r="N74" i="3"/>
  <c r="M74" i="3"/>
  <c r="N73" i="3"/>
  <c r="M73" i="3"/>
  <c r="N72" i="3"/>
  <c r="M72" i="3"/>
  <c r="N71" i="3"/>
  <c r="M71" i="3"/>
  <c r="N70" i="3"/>
  <c r="M70" i="3"/>
  <c r="N69" i="3"/>
  <c r="M69" i="3"/>
  <c r="N68" i="3"/>
  <c r="M68" i="3"/>
  <c r="N67" i="3"/>
  <c r="M67" i="3"/>
  <c r="N66" i="3"/>
  <c r="M66" i="3"/>
  <c r="N65" i="3"/>
  <c r="M65" i="3"/>
  <c r="N64" i="3"/>
  <c r="M64" i="3"/>
  <c r="N63" i="3"/>
  <c r="M63" i="3"/>
  <c r="N62" i="3"/>
  <c r="M62" i="3"/>
  <c r="N61" i="3"/>
  <c r="M61" i="3"/>
  <c r="N60" i="3"/>
  <c r="M60" i="3"/>
  <c r="N59" i="3"/>
  <c r="M59" i="3"/>
  <c r="N58" i="3"/>
  <c r="M58" i="3"/>
  <c r="N57" i="3"/>
  <c r="M57" i="3"/>
  <c r="N56" i="3"/>
  <c r="M56" i="3"/>
  <c r="N55" i="3"/>
  <c r="M55" i="3"/>
  <c r="N54" i="3"/>
  <c r="M54" i="3"/>
  <c r="N53" i="3"/>
  <c r="M53" i="3"/>
  <c r="N52" i="3"/>
  <c r="M52" i="3"/>
  <c r="N51" i="3"/>
  <c r="M51" i="3"/>
  <c r="N50" i="3"/>
  <c r="M50" i="3"/>
  <c r="N49" i="3"/>
  <c r="M49" i="3"/>
  <c r="N48" i="3"/>
  <c r="M48" i="3"/>
  <c r="N47" i="3"/>
  <c r="M47" i="3"/>
  <c r="N46" i="3"/>
  <c r="M46" i="3"/>
  <c r="N45" i="3"/>
  <c r="M45" i="3"/>
  <c r="N44" i="3"/>
  <c r="M44" i="3"/>
  <c r="N43" i="3"/>
  <c r="M43" i="3"/>
  <c r="N42" i="3"/>
  <c r="M42" i="3"/>
  <c r="N41" i="3"/>
  <c r="M41" i="3"/>
  <c r="N40" i="3"/>
  <c r="M40" i="3"/>
  <c r="N39" i="3"/>
  <c r="M39" i="3"/>
  <c r="N38" i="3"/>
  <c r="M38" i="3"/>
  <c r="N37" i="3"/>
  <c r="M37" i="3"/>
  <c r="N36" i="3"/>
  <c r="M36" i="3"/>
  <c r="N35" i="3"/>
  <c r="M35" i="3"/>
  <c r="N34" i="3"/>
  <c r="M34" i="3"/>
  <c r="N33" i="3"/>
  <c r="M33" i="3"/>
  <c r="N32" i="3"/>
  <c r="M32" i="3"/>
  <c r="N31" i="3"/>
  <c r="M31" i="3"/>
  <c r="N30" i="3"/>
  <c r="M30" i="3"/>
  <c r="N29" i="3"/>
  <c r="M29" i="3"/>
  <c r="N28" i="3"/>
  <c r="M28" i="3"/>
  <c r="N27" i="3"/>
  <c r="M27" i="3"/>
  <c r="N26" i="3"/>
  <c r="M26" i="3"/>
  <c r="N25" i="3"/>
  <c r="M25" i="3"/>
  <c r="N24" i="3"/>
  <c r="M24" i="3"/>
  <c r="N23" i="3"/>
  <c r="M23" i="3"/>
  <c r="N22" i="3"/>
  <c r="M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1" i="3"/>
  <c r="M11" i="3"/>
  <c r="N10" i="3"/>
  <c r="M10" i="3"/>
  <c r="N9" i="3"/>
  <c r="M9" i="3"/>
  <c r="N8" i="3"/>
  <c r="M8" i="3"/>
  <c r="N7" i="3"/>
  <c r="M7" i="3"/>
  <c r="N6" i="3"/>
  <c r="M6" i="3"/>
  <c r="N5" i="3"/>
  <c r="M5" i="3"/>
  <c r="N4" i="3"/>
  <c r="M4" i="3"/>
  <c r="N3" i="3"/>
  <c r="M3" i="3"/>
  <c r="N2" i="3"/>
  <c r="M2" i="3"/>
  <c r="N1" i="3"/>
  <c r="M1" i="3"/>
  <c r="Q53" i="3"/>
  <c r="Q28" i="3"/>
  <c r="Q31" i="3"/>
  <c r="Q55" i="3"/>
  <c r="Q36" i="3"/>
  <c r="Q18" i="3"/>
  <c r="Q71" i="3"/>
  <c r="Q43" i="3"/>
  <c r="Q16" i="3"/>
  <c r="Q45" i="3"/>
  <c r="Q68" i="3"/>
  <c r="Q61" i="3"/>
  <c r="Q44" i="3"/>
  <c r="Q30" i="3"/>
  <c r="Q13" i="3"/>
  <c r="Q15" i="3"/>
  <c r="Q3" i="3"/>
  <c r="Q40" i="3"/>
  <c r="Q70" i="3"/>
  <c r="Q11" i="3"/>
  <c r="Q10" i="3"/>
  <c r="Q67" i="3"/>
  <c r="Q20" i="3"/>
  <c r="Q23" i="3"/>
  <c r="Q4" i="3"/>
  <c r="Q63" i="3"/>
  <c r="Q12" i="3"/>
  <c r="Q48" i="3"/>
  <c r="Q54" i="3"/>
  <c r="Q8" i="3"/>
  <c r="Q9" i="3"/>
  <c r="Q14" i="3"/>
  <c r="Q69" i="3"/>
  <c r="Q65" i="3"/>
  <c r="Q27" i="3"/>
  <c r="Q39" i="3"/>
  <c r="Q6" i="3"/>
  <c r="Q32" i="3"/>
  <c r="Q58" i="3"/>
  <c r="Q72" i="3"/>
  <c r="Q2" i="3"/>
  <c r="Q26" i="3"/>
  <c r="Q7" i="3"/>
  <c r="Q60" i="3"/>
  <c r="Q66" i="3"/>
  <c r="Q22" i="3"/>
  <c r="Q29" i="3"/>
  <c r="Q49" i="3"/>
  <c r="Q33" i="3"/>
  <c r="Q1" i="3"/>
  <c r="Q64" i="3"/>
  <c r="Q17" i="3"/>
  <c r="Q5" i="3"/>
  <c r="Q62" i="3"/>
  <c r="Q51" i="3"/>
  <c r="Q75" i="3"/>
  <c r="Q73" i="3"/>
  <c r="Q38" i="3"/>
  <c r="Q25" i="3"/>
  <c r="Q50" i="3"/>
  <c r="Q19" i="3"/>
  <c r="Q46" i="3"/>
  <c r="Q57" i="3"/>
  <c r="Q21" i="3"/>
  <c r="Q24" i="3"/>
  <c r="Q35" i="3"/>
  <c r="Q34" i="3"/>
  <c r="Q52" i="3"/>
  <c r="Q56" i="3"/>
  <c r="Q59" i="3"/>
  <c r="Q37" i="3"/>
  <c r="Q42" i="3"/>
  <c r="Q74" i="3"/>
  <c r="Q41" i="3"/>
  <c r="Q47" i="3"/>
  <c r="D55" i="3" l="1"/>
  <c r="F55" i="3" s="1"/>
  <c r="D31" i="3"/>
  <c r="F31" i="3" s="1"/>
  <c r="D19" i="3"/>
  <c r="F19" i="3" s="1"/>
  <c r="D71" i="3"/>
  <c r="F71" i="3" s="1"/>
  <c r="D7" i="3"/>
  <c r="F7" i="3" s="1"/>
  <c r="D67" i="3"/>
  <c r="D43" i="3"/>
  <c r="E43" i="3" s="1"/>
  <c r="D39" i="3"/>
  <c r="E39" i="3" s="1"/>
  <c r="D46" i="3"/>
  <c r="E46" i="3" s="1"/>
  <c r="D58" i="3"/>
  <c r="E58" i="3" s="1"/>
  <c r="D9" i="3"/>
  <c r="E9" i="3" s="1"/>
  <c r="D5" i="3"/>
  <c r="E5" i="3" s="1"/>
  <c r="D65" i="3"/>
  <c r="F65" i="3" s="1"/>
  <c r="D2" i="3"/>
  <c r="E2" i="3" s="1"/>
  <c r="D27" i="3"/>
  <c r="F27" i="3" s="1"/>
  <c r="D17" i="3"/>
  <c r="F17" i="3" s="1"/>
  <c r="D29" i="3"/>
  <c r="F29" i="3" s="1"/>
  <c r="D41" i="3"/>
  <c r="D15" i="3"/>
  <c r="F15" i="3" s="1"/>
  <c r="D53" i="3"/>
  <c r="F53" i="3" s="1"/>
  <c r="D4" i="3"/>
  <c r="E4" i="3" s="1"/>
  <c r="D74" i="3"/>
  <c r="E74" i="3" s="1"/>
  <c r="D73" i="3"/>
  <c r="F73" i="3" s="1"/>
  <c r="D26" i="3"/>
  <c r="E26" i="3" s="1"/>
  <c r="D38" i="3"/>
  <c r="E38" i="3" s="1"/>
  <c r="D50" i="3"/>
  <c r="E50" i="3" s="1"/>
  <c r="D62" i="3"/>
  <c r="E62" i="3" s="1"/>
  <c r="D68" i="3"/>
  <c r="F68" i="3" s="1"/>
  <c r="D14" i="3"/>
  <c r="E14" i="3" s="1"/>
  <c r="D32" i="3"/>
  <c r="D44" i="3"/>
  <c r="F44" i="3" s="1"/>
  <c r="D56" i="3"/>
  <c r="F56" i="3" s="1"/>
  <c r="D3" i="3"/>
  <c r="F3" i="3" s="1"/>
  <c r="D33" i="3"/>
  <c r="F33" i="3" s="1"/>
  <c r="D45" i="3"/>
  <c r="F45" i="3" s="1"/>
  <c r="D51" i="3"/>
  <c r="F51" i="3" s="1"/>
  <c r="D57" i="3"/>
  <c r="F57" i="3" s="1"/>
  <c r="D63" i="3"/>
  <c r="E63" i="3" s="1"/>
  <c r="D69" i="3"/>
  <c r="E69" i="3" s="1"/>
  <c r="D75" i="3"/>
  <c r="E75" i="3" s="1"/>
  <c r="D21" i="3"/>
  <c r="F21" i="3" s="1"/>
  <c r="D70" i="3"/>
  <c r="R29" i="3"/>
  <c r="R41" i="3"/>
  <c r="R53" i="3"/>
  <c r="R65" i="3"/>
  <c r="R72" i="3"/>
  <c r="R36" i="3"/>
  <c r="R43" i="3"/>
  <c r="R55" i="3"/>
  <c r="R67" i="3"/>
  <c r="R24" i="3"/>
  <c r="R2" i="3"/>
  <c r="R38" i="3"/>
  <c r="R50" i="3"/>
  <c r="R62" i="3"/>
  <c r="R74" i="3"/>
  <c r="R5" i="3"/>
  <c r="R19" i="3"/>
  <c r="R31" i="3"/>
  <c r="R14" i="3"/>
  <c r="R9" i="3"/>
  <c r="R21" i="3"/>
  <c r="R33" i="3"/>
  <c r="R45" i="3"/>
  <c r="R57" i="3"/>
  <c r="R69" i="3"/>
  <c r="R12" i="3"/>
  <c r="R4" i="3"/>
  <c r="R16" i="3"/>
  <c r="R28" i="3"/>
  <c r="R40" i="3"/>
  <c r="R52" i="3"/>
  <c r="R64" i="3"/>
  <c r="R17" i="3"/>
  <c r="R7" i="3"/>
  <c r="R26" i="3"/>
  <c r="R35" i="3"/>
  <c r="R47" i="3"/>
  <c r="R59" i="3"/>
  <c r="R71" i="3"/>
  <c r="R48" i="3"/>
  <c r="R11" i="3"/>
  <c r="R23" i="3"/>
  <c r="R6" i="3"/>
  <c r="R18" i="3"/>
  <c r="R30" i="3"/>
  <c r="R42" i="3"/>
  <c r="R54" i="3"/>
  <c r="R66" i="3"/>
  <c r="R73" i="3"/>
  <c r="R25" i="3"/>
  <c r="R37" i="3"/>
  <c r="R49" i="3"/>
  <c r="R61" i="3"/>
  <c r="R8" i="3"/>
  <c r="R20" i="3"/>
  <c r="R32" i="3"/>
  <c r="R44" i="3"/>
  <c r="R56" i="3"/>
  <c r="R68" i="3"/>
  <c r="R60" i="3"/>
  <c r="R1" i="3"/>
  <c r="R3" i="3"/>
  <c r="R15" i="3"/>
  <c r="R75" i="3"/>
  <c r="R13" i="3"/>
  <c r="R27" i="3"/>
  <c r="R39" i="3"/>
  <c r="R51" i="3"/>
  <c r="R63" i="3"/>
  <c r="R10" i="3"/>
  <c r="R22" i="3"/>
  <c r="R34" i="3"/>
  <c r="R46" i="3"/>
  <c r="R58" i="3"/>
  <c r="R70" i="3"/>
  <c r="F41" i="3"/>
  <c r="E41" i="3"/>
  <c r="F43" i="3"/>
  <c r="E55" i="3"/>
  <c r="F67" i="3"/>
  <c r="E67" i="3"/>
  <c r="F32" i="3"/>
  <c r="E32" i="3"/>
  <c r="F70" i="3"/>
  <c r="E70" i="3"/>
  <c r="D16" i="3"/>
  <c r="D28" i="3"/>
  <c r="D40" i="3"/>
  <c r="D52" i="3"/>
  <c r="D64" i="3"/>
  <c r="D42" i="3"/>
  <c r="D54" i="3"/>
  <c r="D66" i="3"/>
  <c r="D11" i="3"/>
  <c r="D6" i="3"/>
  <c r="D30" i="3"/>
  <c r="D37" i="3"/>
  <c r="D49" i="3"/>
  <c r="D61" i="3"/>
  <c r="D18" i="3"/>
  <c r="D20" i="3"/>
  <c r="D25" i="3"/>
  <c r="D8" i="3"/>
  <c r="D1" i="3"/>
  <c r="D10" i="3"/>
  <c r="D34" i="3"/>
  <c r="D13" i="3"/>
  <c r="D22" i="3"/>
  <c r="D47" i="3"/>
  <c r="D36" i="3"/>
  <c r="D48" i="3"/>
  <c r="D72" i="3"/>
  <c r="D59" i="3"/>
  <c r="D12" i="3"/>
  <c r="D24" i="3"/>
  <c r="D60" i="3"/>
  <c r="D23" i="3"/>
  <c r="D35" i="3"/>
  <c r="E21" i="3" l="1"/>
  <c r="F69" i="3"/>
  <c r="F46" i="3"/>
  <c r="E29" i="3"/>
  <c r="E19" i="3"/>
  <c r="E27" i="3"/>
  <c r="E31" i="3"/>
  <c r="E7" i="3"/>
  <c r="E15" i="3"/>
  <c r="E71" i="3"/>
  <c r="E44" i="3"/>
  <c r="E68" i="3"/>
  <c r="F62" i="3"/>
  <c r="F75" i="3"/>
  <c r="F4" i="3"/>
  <c r="F58" i="3"/>
  <c r="F14" i="3"/>
  <c r="F63" i="3"/>
  <c r="F50" i="3"/>
  <c r="E56" i="3"/>
  <c r="F2" i="3"/>
  <c r="E3" i="3"/>
  <c r="E33" i="3"/>
  <c r="F74" i="3"/>
  <c r="F9" i="3"/>
  <c r="E17" i="3"/>
  <c r="F39" i="3"/>
  <c r="F5" i="3"/>
  <c r="E53" i="3"/>
  <c r="F26" i="3"/>
  <c r="E51" i="3"/>
  <c r="E45" i="3"/>
  <c r="E73" i="3"/>
  <c r="E57" i="3"/>
  <c r="F38" i="3"/>
  <c r="E65" i="3"/>
  <c r="F22" i="3"/>
  <c r="E22" i="3"/>
  <c r="F35" i="3"/>
  <c r="E35" i="3"/>
  <c r="E6" i="3"/>
  <c r="F6" i="3"/>
  <c r="E30" i="3"/>
  <c r="F30" i="3"/>
  <c r="F23" i="3"/>
  <c r="E23" i="3"/>
  <c r="F34" i="3"/>
  <c r="E34" i="3"/>
  <c r="E11" i="3"/>
  <c r="F11" i="3"/>
  <c r="F13" i="3"/>
  <c r="E13" i="3"/>
  <c r="F60" i="3"/>
  <c r="E60" i="3"/>
  <c r="F10" i="3"/>
  <c r="E10" i="3"/>
  <c r="F1" i="3"/>
  <c r="E1" i="3"/>
  <c r="F12" i="3"/>
  <c r="E12" i="3"/>
  <c r="F8" i="3"/>
  <c r="E8" i="3"/>
  <c r="F54" i="3"/>
  <c r="E54" i="3"/>
  <c r="F59" i="3"/>
  <c r="E59" i="3"/>
  <c r="F25" i="3"/>
  <c r="E25" i="3"/>
  <c r="E42" i="3"/>
  <c r="F42" i="3"/>
  <c r="F37" i="3"/>
  <c r="E37" i="3"/>
  <c r="F66" i="3"/>
  <c r="E66" i="3"/>
  <c r="F20" i="3"/>
  <c r="E20" i="3"/>
  <c r="E64" i="3"/>
  <c r="F64" i="3"/>
  <c r="E16" i="3"/>
  <c r="F16" i="3"/>
  <c r="F24" i="3"/>
  <c r="E24" i="3"/>
  <c r="F18" i="3"/>
  <c r="E18" i="3"/>
  <c r="E52" i="3"/>
  <c r="F52" i="3"/>
  <c r="F48" i="3"/>
  <c r="E48" i="3"/>
  <c r="F36" i="3"/>
  <c r="E36" i="3"/>
  <c r="F61" i="3"/>
  <c r="E61" i="3"/>
  <c r="E40" i="3"/>
  <c r="F40" i="3"/>
  <c r="F72" i="3"/>
  <c r="E72" i="3"/>
  <c r="F47" i="3"/>
  <c r="E47" i="3"/>
  <c r="F49" i="3"/>
  <c r="E49" i="3"/>
  <c r="E28" i="3"/>
  <c r="F28" i="3"/>
</calcChain>
</file>

<file path=xl/sharedStrings.xml><?xml version="1.0" encoding="utf-8"?>
<sst xmlns="http://schemas.openxmlformats.org/spreadsheetml/2006/main" count="240" uniqueCount="164">
  <si>
    <t>アイルランド</t>
  </si>
  <si>
    <t>アゼルバイジャン</t>
  </si>
  <si>
    <t>アメリカ合衆国</t>
  </si>
  <si>
    <t>アラブ首長国連邦</t>
  </si>
  <si>
    <t>アルゼンチン</t>
  </si>
  <si>
    <t>イギリス</t>
  </si>
  <si>
    <t>イスラエル</t>
  </si>
  <si>
    <t>イタリア</t>
  </si>
  <si>
    <t>インド</t>
  </si>
  <si>
    <t>インドネシア</t>
  </si>
  <si>
    <t>ウルグアイ</t>
  </si>
  <si>
    <t>エクアドル</t>
  </si>
  <si>
    <t>エストニア</t>
  </si>
  <si>
    <t>オーストラリア</t>
  </si>
  <si>
    <t>オーストリア</t>
  </si>
  <si>
    <t>オランダ</t>
  </si>
  <si>
    <t>ガイアナ</t>
  </si>
  <si>
    <t>カナダ</t>
  </si>
  <si>
    <t>韓国</t>
  </si>
  <si>
    <t>カンボジア</t>
  </si>
  <si>
    <t>キプロス</t>
  </si>
  <si>
    <t>ギリシャ</t>
  </si>
  <si>
    <t>クロアチア</t>
  </si>
  <si>
    <t>コロンビア</t>
  </si>
  <si>
    <t>サウジアラビア</t>
  </si>
  <si>
    <t>サンマリノ</t>
  </si>
  <si>
    <t>ジャマイカ</t>
  </si>
  <si>
    <t>シンガポール</t>
  </si>
  <si>
    <t>スウェーデン</t>
  </si>
  <si>
    <t>スペイン</t>
  </si>
  <si>
    <t>スリナム</t>
  </si>
  <si>
    <t>スロバキア</t>
  </si>
  <si>
    <t>スロベニア</t>
  </si>
  <si>
    <t>タイ</t>
  </si>
  <si>
    <t>チェコ</t>
  </si>
  <si>
    <t>中国</t>
  </si>
  <si>
    <t>チリ</t>
  </si>
  <si>
    <t>デンマーク</t>
  </si>
  <si>
    <t>ドイツ</t>
  </si>
  <si>
    <t>トルコ</t>
  </si>
  <si>
    <t>日本</t>
  </si>
  <si>
    <t>ニュージーランド</t>
  </si>
  <si>
    <t>バチカン市国</t>
  </si>
  <si>
    <t>パラグアイ</t>
  </si>
  <si>
    <t>ハンガリー</t>
  </si>
  <si>
    <t>フィジー</t>
  </si>
  <si>
    <t>フィリピン</t>
  </si>
  <si>
    <t>フィンランド</t>
  </si>
  <si>
    <t>ブラジル</t>
  </si>
  <si>
    <t>フランス</t>
  </si>
  <si>
    <t>ブルガリア</t>
  </si>
  <si>
    <t>ブルネイ</t>
  </si>
  <si>
    <t>ベトナム</t>
  </si>
  <si>
    <t>ベナン</t>
  </si>
  <si>
    <t>ベネズエラ</t>
  </si>
  <si>
    <t>ペルー</t>
  </si>
  <si>
    <t>ベルギー</t>
  </si>
  <si>
    <t>ポーランド</t>
  </si>
  <si>
    <t>ボリビア</t>
  </si>
  <si>
    <t>ポルトガル</t>
  </si>
  <si>
    <t>マルタ</t>
  </si>
  <si>
    <t>マレーシア</t>
  </si>
  <si>
    <t>南アフリカ共和国</t>
  </si>
  <si>
    <t>ミャンマー</t>
  </si>
  <si>
    <t>メキシコ</t>
  </si>
  <si>
    <t>モナコ</t>
  </si>
  <si>
    <t>モロッコ</t>
  </si>
  <si>
    <t>モンゴル</t>
  </si>
  <si>
    <t>モンテネグロ</t>
  </si>
  <si>
    <t>ラオス</t>
  </si>
  <si>
    <t>ラトビア</t>
  </si>
  <si>
    <t>リトアニア</t>
  </si>
  <si>
    <t>ルーマニア</t>
  </si>
  <si>
    <t>ルクセンブルク</t>
  </si>
  <si>
    <t>ロシア</t>
  </si>
  <si>
    <t>countries_img/IE.gif</t>
  </si>
  <si>
    <t>countries_img/AZ.gif</t>
  </si>
  <si>
    <t>countries_img/AEL.GIF</t>
  </si>
  <si>
    <t>countries_img/AR.gif</t>
  </si>
  <si>
    <t>countries_img/GB.gif</t>
  </si>
  <si>
    <t>countries_img/IL.gif</t>
  </si>
  <si>
    <t>countries_img/IT.gif</t>
  </si>
  <si>
    <t>countries_img/IN.gif</t>
  </si>
  <si>
    <t>countries_img/ID.gif</t>
  </si>
  <si>
    <t>countries_img/UY.gif</t>
  </si>
  <si>
    <t>countries_img/EC.gif</t>
  </si>
  <si>
    <t>countries_img/EE.gif</t>
  </si>
  <si>
    <t>countries_img/AU.gif</t>
  </si>
  <si>
    <t>countries_img/AT.gif</t>
  </si>
  <si>
    <t>countries_img/NL.gif</t>
  </si>
  <si>
    <t>countries_img/GY.gif</t>
  </si>
  <si>
    <t>countries_img/CA.gif</t>
  </si>
  <si>
    <t>countries_img/KR.gif</t>
  </si>
  <si>
    <t>countries_img/KH.gif</t>
  </si>
  <si>
    <t>countries_img/CY.gif</t>
  </si>
  <si>
    <t>countries_img/GR02.gif</t>
  </si>
  <si>
    <t>countries_img/HR.gif</t>
  </si>
  <si>
    <t>countries_img/CO.gif</t>
  </si>
  <si>
    <t>countries_img/SA.gif</t>
  </si>
  <si>
    <t>countries_img/SM.gif</t>
  </si>
  <si>
    <t>countries_img/JM.gif</t>
  </si>
  <si>
    <t>countries_img/SG.gif</t>
  </si>
  <si>
    <t>countries_img/SE.gif</t>
  </si>
  <si>
    <t>countries_img/ES.gif</t>
  </si>
  <si>
    <t>countries_img/SR.gif</t>
  </si>
  <si>
    <t>countries_img/SK.gif</t>
  </si>
  <si>
    <t>countries_img/SI.gif</t>
  </si>
  <si>
    <t>countries_img/TH.gif</t>
  </si>
  <si>
    <t>countries_img/CZ.gif</t>
  </si>
  <si>
    <t>countries_img/CN.gif</t>
  </si>
  <si>
    <t>countries_img/CL.gif</t>
  </si>
  <si>
    <t>countries_img/DK.gif</t>
  </si>
  <si>
    <t>countries_img/DE.gif</t>
  </si>
  <si>
    <t>countries_img/TR.gif</t>
  </si>
  <si>
    <t>countries_img/JP.gif</t>
  </si>
  <si>
    <t>countries_img/NZ.gif</t>
  </si>
  <si>
    <t>countries_img/VA.gif</t>
  </si>
  <si>
    <t>countries_img/PY.gif</t>
  </si>
  <si>
    <t>countries_img/HU.gif</t>
  </si>
  <si>
    <t>countries_img/FJ.gif</t>
  </si>
  <si>
    <t>countries_img/PH.gif</t>
  </si>
  <si>
    <t>countries_img/FI.gif</t>
  </si>
  <si>
    <t>countries_img/BR.gif</t>
  </si>
  <si>
    <t>countries_img/FR.gif</t>
  </si>
  <si>
    <t>countries_img/BG.gif</t>
  </si>
  <si>
    <t>countries_img/BN.gif</t>
  </si>
  <si>
    <t>countries_img/VN.gif</t>
  </si>
  <si>
    <t>countries_img/BJ.gif</t>
  </si>
  <si>
    <t>countries_img/VE.gif</t>
  </si>
  <si>
    <t>countries_img/PE.gif</t>
  </si>
  <si>
    <t>countries_img/BE.gif</t>
  </si>
  <si>
    <t>countries_img/PL.gif</t>
  </si>
  <si>
    <t>countries_img/BO.gif</t>
  </si>
  <si>
    <t>countries_img/PT.gif</t>
  </si>
  <si>
    <t>countries_img/MT.gif</t>
  </si>
  <si>
    <t>countries_img/MY.gif</t>
  </si>
  <si>
    <t>countries_img/ZA.gif</t>
  </si>
  <si>
    <t>countries_img/MM.gif</t>
  </si>
  <si>
    <t>countries_img/MX.gif</t>
  </si>
  <si>
    <t>countries_img/MC.gif</t>
  </si>
  <si>
    <t>countries_img/MA.gif</t>
  </si>
  <si>
    <t>countries_img/MN.gif</t>
  </si>
  <si>
    <t>countries_img/MO.gif</t>
  </si>
  <si>
    <t>countries_img/LA.gif</t>
  </si>
  <si>
    <t>countries_img/LV.gif</t>
  </si>
  <si>
    <t>countries_img/LT.gif</t>
  </si>
  <si>
    <t>countries_img/RO.gif</t>
  </si>
  <si>
    <t>countries_img/LU.gif</t>
  </si>
  <si>
    <t>countries_img/RU.gif</t>
  </si>
  <si>
    <t>乱数生成後実行(リロード)</t>
    <rPh sb="0" eb="2">
      <t>ランスウ</t>
    </rPh>
    <rPh sb="2" eb="4">
      <t>セイセイ</t>
    </rPh>
    <rPh sb="4" eb="5">
      <t>ゴ</t>
    </rPh>
    <rPh sb="5" eb="7">
      <t>ジッコウ</t>
    </rPh>
    <phoneticPr fontId="4"/>
  </si>
  <si>
    <t>他シートの心配をする必要はありません</t>
    <phoneticPr fontId="4"/>
  </si>
  <si>
    <t>※このシート内でのマクロなので</t>
    <rPh sb="6" eb="7">
      <t>ナイ</t>
    </rPh>
    <phoneticPr fontId="4"/>
  </si>
  <si>
    <t>右はマクロに用いている表なので変更しないで下さい。</t>
    <rPh sb="0" eb="1">
      <t>ミギ</t>
    </rPh>
    <rPh sb="6" eb="7">
      <t>モチ</t>
    </rPh>
    <rPh sb="11" eb="12">
      <t>ヒョウ</t>
    </rPh>
    <rPh sb="15" eb="17">
      <t>ヘンコウ</t>
    </rPh>
    <rPh sb="21" eb="22">
      <t>クダ</t>
    </rPh>
    <phoneticPr fontId="4"/>
  </si>
  <si>
    <t>回数</t>
    <rPh sb="0" eb="2">
      <t>カイスウ</t>
    </rPh>
    <phoneticPr fontId="4"/>
  </si>
  <si>
    <t>番号</t>
    <rPh sb="0" eb="2">
      <t>バンゴウ</t>
    </rPh>
    <phoneticPr fontId="4"/>
  </si>
  <si>
    <t>国名</t>
    <rPh sb="0" eb="2">
      <t>コクメイ</t>
    </rPh>
    <phoneticPr fontId="4"/>
  </si>
  <si>
    <t>「数式タブ」→「計算方法の設定」</t>
    <rPh sb="1" eb="3">
      <t>スウシキ</t>
    </rPh>
    <rPh sb="13" eb="15">
      <t>セッテイ</t>
    </rPh>
    <phoneticPr fontId="4"/>
  </si>
  <si>
    <t>ここで、「自動」から 「手動」を選択</t>
    <phoneticPr fontId="4"/>
  </si>
  <si>
    <t>※必ず行ってください。</t>
    <rPh sb="1" eb="2">
      <t>カナラ</t>
    </rPh>
    <rPh sb="3" eb="4">
      <t>オコナ</t>
    </rPh>
    <phoneticPr fontId="4"/>
  </si>
  <si>
    <r>
      <rPr>
        <sz val="10"/>
        <color rgb="FF000000"/>
        <rFont val="メイリオ"/>
        <family val="3"/>
        <charset val="128"/>
      </rPr>
      <t>（</t>
    </r>
    <r>
      <rPr>
        <sz val="10"/>
        <color rgb="FF000000"/>
        <rFont val="Arial"/>
        <scheme val="minor"/>
      </rPr>
      <t>Sheet1</t>
    </r>
    <r>
      <rPr>
        <sz val="10"/>
        <color rgb="FF000000"/>
        <rFont val="メイリオ"/>
        <family val="3"/>
        <charset val="128"/>
      </rPr>
      <t xml:space="preserve">から参照する際にも
   </t>
    </r>
    <r>
      <rPr>
        <sz val="10"/>
        <color rgb="FF000000"/>
        <rFont val="Arial"/>
        <scheme val="minor"/>
      </rPr>
      <t>RAND()</t>
    </r>
    <r>
      <rPr>
        <sz val="10"/>
        <color rgb="FF000000"/>
        <rFont val="メイリオ"/>
        <family val="3"/>
        <charset val="128"/>
      </rPr>
      <t>が機能するので）</t>
    </r>
    <phoneticPr fontId="4"/>
  </si>
  <si>
    <t>回目</t>
    <rPh sb="0" eb="2">
      <t>カイメ</t>
    </rPh>
    <phoneticPr fontId="4"/>
  </si>
  <si>
    <t>countries_img/US.gif</t>
    <phoneticPr fontId="4"/>
  </si>
  <si>
    <t>チェック</t>
    <phoneticPr fontId="4"/>
  </si>
  <si>
    <t>RAND()はF9を押すまで値は変化しない。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</si>
</sst>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2"/>
      <color theme="1"/>
      <name val="Arial"/>
      <family val="2"/>
    </font>
    <font>
      <sz val="6"/>
      <name val="Arial"/>
      <family val="3"/>
      <charset val="128"/>
      <scheme val="minor"/>
    </font>
    <font>
      <sz val="10"/>
      <color theme="1"/>
      <name val="Arial"/>
      <family val="2"/>
    </font>
    <font>
      <sz val="10"/>
      <color rgb="FF000000"/>
      <name val="Arial"/>
      <family val="3"/>
      <charset val="128"/>
      <scheme val="minor"/>
    </font>
    <font>
      <sz val="10"/>
      <color theme="1"/>
      <name val="ＭＳ Ｐゴシック"/>
      <family val="3"/>
      <charset val="128"/>
    </font>
    <font>
      <sz val="20"/>
      <color theme="1"/>
      <name val="游ゴシック Medium"/>
      <family val="3"/>
      <charset val="128"/>
    </font>
    <font>
      <sz val="18"/>
      <color theme="1"/>
      <name val="ＭＳ Ｐゴシック"/>
      <family val="3"/>
      <charset val="128"/>
    </font>
    <font>
      <sz val="14"/>
      <color rgb="FF333333"/>
      <name val="メイリオ"/>
      <family val="3"/>
      <charset val="128"/>
    </font>
    <font>
      <sz val="20"/>
      <color rgb="FFFF0000"/>
      <name val="ＭＳ Ｐゴシック"/>
      <family val="3"/>
      <charset val="128"/>
    </font>
    <font>
      <sz val="15"/>
      <color rgb="FFFF0000"/>
      <name val="ＭＳ Ｐゴシック"/>
      <family val="3"/>
      <charset val="128"/>
    </font>
    <font>
      <sz val="10"/>
      <color rgb="FF000000"/>
      <name val="メイリオ"/>
      <family val="3"/>
      <charset val="128"/>
    </font>
    <font>
      <sz val="10"/>
      <color rgb="FF000000"/>
      <name val="ＭＳ Ｐゴシック"/>
      <family val="3"/>
      <charset val="128"/>
    </font>
    <font>
      <sz val="22"/>
      <color rgb="FF000000"/>
      <name val="Arial"/>
      <family val="2"/>
    </font>
    <font>
      <sz val="10"/>
      <color rgb="FF000000"/>
      <name val="Arial"/>
      <family val="2"/>
      <scheme val="minor"/>
    </font>
    <font>
      <sz val="144"/>
      <color theme="1"/>
      <name val="Arial"/>
      <family val="2"/>
    </font>
    <font>
      <sz val="18"/>
      <color rgb="FFFF0000"/>
      <name val="メイリオ"/>
      <family val="3"/>
      <charset val="128"/>
    </font>
    <font>
      <sz val="16"/>
      <color theme="1"/>
      <name val="Arial"/>
      <family val="2"/>
    </font>
    <font>
      <sz val="16"/>
      <color theme="1"/>
      <name val="ＭＳ Ｐゴシック"/>
      <family val="3"/>
      <charset val="128"/>
    </font>
    <font>
      <sz val="20"/>
      <color theme="1"/>
      <name val="ＭＳ ゴシック"/>
      <family val="3"/>
      <charset val="128"/>
    </font>
    <font>
      <sz val="22"/>
      <color rgb="FF000000"/>
      <name val="ＭＳ Ｐゴシック"/>
      <family val="3"/>
      <charset val="128"/>
    </font>
    <font>
      <sz val="10"/>
      <color rgb="FF000000"/>
      <name val="Arial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7" fillId="0" borderId="0" xfId="0" applyFont="1"/>
    <xf numFmtId="0" fontId="7" fillId="0" borderId="0" xfId="0" applyFont="1" applyAlignment="1">
      <alignment horizontal="right" vertical="center"/>
    </xf>
    <xf numFmtId="0" fontId="10" fillId="0" borderId="0" xfId="0" applyFont="1"/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6" fillId="0" borderId="0" xfId="0" applyFont="1" applyAlignment="1">
      <alignment wrapText="1"/>
    </xf>
    <xf numFmtId="0" fontId="16" fillId="0" borderId="0" xfId="0" applyFont="1" applyAlignment="1">
      <alignment horizontal="left" vertical="center"/>
    </xf>
    <xf numFmtId="0" fontId="16" fillId="0" borderId="0" xfId="0" applyFont="1"/>
    <xf numFmtId="0" fontId="16" fillId="0" borderId="0" xfId="0" applyFont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8" fillId="0" borderId="0" xfId="0" applyFont="1"/>
    <xf numFmtId="0" fontId="0" fillId="2" borderId="0" xfId="0" applyFill="1"/>
    <xf numFmtId="0" fontId="2" fillId="2" borderId="0" xfId="0" applyFont="1" applyFill="1"/>
    <xf numFmtId="0" fontId="7" fillId="2" borderId="0" xfId="0" applyFont="1" applyFill="1" applyAlignment="1">
      <alignment horizontal="right" vertical="center"/>
    </xf>
    <xf numFmtId="0" fontId="14" fillId="2" borderId="0" xfId="0" applyFont="1" applyFill="1" applyAlignment="1">
      <alignment horizontal="right"/>
    </xf>
    <xf numFmtId="0" fontId="7" fillId="2" borderId="0" xfId="0" applyFont="1" applyFill="1" applyAlignment="1">
      <alignment horizontal="right"/>
    </xf>
    <xf numFmtId="0" fontId="1" fillId="2" borderId="0" xfId="0" applyFont="1" applyFill="1"/>
    <xf numFmtId="0" fontId="7" fillId="2" borderId="0" xfId="0" applyFont="1" applyFill="1"/>
    <xf numFmtId="0" fontId="19" fillId="2" borderId="0" xfId="0" applyFont="1" applyFill="1" applyAlignment="1">
      <alignment horizontal="right" vertical="center"/>
    </xf>
    <xf numFmtId="0" fontId="20" fillId="2" borderId="0" xfId="0" applyFont="1" applyFill="1" applyAlignment="1">
      <alignment horizontal="left" vertical="center"/>
    </xf>
    <xf numFmtId="0" fontId="17" fillId="3" borderId="0" xfId="0" applyFont="1" applyFill="1" applyAlignment="1">
      <alignment horizontal="center" vertical="center"/>
    </xf>
    <xf numFmtId="0" fontId="2" fillId="3" borderId="0" xfId="0" applyFont="1" applyFill="1"/>
    <xf numFmtId="0" fontId="21" fillId="2" borderId="2" xfId="0" applyFont="1" applyFill="1" applyBorder="1" applyAlignment="1">
      <alignment horizontal="center" vertical="center"/>
    </xf>
    <xf numFmtId="0" fontId="21" fillId="2" borderId="3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countries_img/SM.gif" TargetMode="External"/><Relationship Id="rId21" Type="http://schemas.openxmlformats.org/officeDocument/2006/relationships/image" Target="countries_img/CY.gif" TargetMode="External"/><Relationship Id="rId42" Type="http://schemas.openxmlformats.org/officeDocument/2006/relationships/image" Target="countries_img/NZ.gif" TargetMode="External"/><Relationship Id="rId47" Type="http://schemas.openxmlformats.org/officeDocument/2006/relationships/image" Target="countries_img/PH.gif" TargetMode="External"/><Relationship Id="rId63" Type="http://schemas.openxmlformats.org/officeDocument/2006/relationships/image" Target="countries_img/ZA.gif" TargetMode="External"/><Relationship Id="rId68" Type="http://schemas.openxmlformats.org/officeDocument/2006/relationships/image" Target="countries_img/MN.gif" TargetMode="External"/><Relationship Id="rId2" Type="http://schemas.openxmlformats.org/officeDocument/2006/relationships/image" Target="countries_img/AZ.gif" TargetMode="External"/><Relationship Id="rId16" Type="http://schemas.openxmlformats.org/officeDocument/2006/relationships/image" Target="countries_img/NL.gif" TargetMode="External"/><Relationship Id="rId29" Type="http://schemas.openxmlformats.org/officeDocument/2006/relationships/image" Target="countries_img/SE.gif" TargetMode="External"/><Relationship Id="rId11" Type="http://schemas.openxmlformats.org/officeDocument/2006/relationships/image" Target="countries_img/UY.gif" TargetMode="External"/><Relationship Id="rId24" Type="http://schemas.openxmlformats.org/officeDocument/2006/relationships/image" Target="countries_img/CO.gif" TargetMode="External"/><Relationship Id="rId32" Type="http://schemas.openxmlformats.org/officeDocument/2006/relationships/image" Target="countries_img/SK.gif" TargetMode="External"/><Relationship Id="rId37" Type="http://schemas.openxmlformats.org/officeDocument/2006/relationships/image" Target="countries_img/CL.gif" TargetMode="External"/><Relationship Id="rId40" Type="http://schemas.openxmlformats.org/officeDocument/2006/relationships/image" Target="countries_img/TR.gif" TargetMode="External"/><Relationship Id="rId45" Type="http://schemas.openxmlformats.org/officeDocument/2006/relationships/image" Target="countries_img/HU.gif" TargetMode="External"/><Relationship Id="rId53" Type="http://schemas.openxmlformats.org/officeDocument/2006/relationships/image" Target="countries_img/VN.gif" TargetMode="External"/><Relationship Id="rId58" Type="http://schemas.openxmlformats.org/officeDocument/2006/relationships/image" Target="countries_img/PL.gif" TargetMode="External"/><Relationship Id="rId66" Type="http://schemas.openxmlformats.org/officeDocument/2006/relationships/image" Target="countries_img/MC.gif" TargetMode="External"/><Relationship Id="rId74" Type="http://schemas.openxmlformats.org/officeDocument/2006/relationships/image" Target="countries_img/LU.gif" TargetMode="External"/><Relationship Id="rId5" Type="http://schemas.openxmlformats.org/officeDocument/2006/relationships/image" Target="countries_img/AR.gif" TargetMode="External"/><Relationship Id="rId61" Type="http://schemas.openxmlformats.org/officeDocument/2006/relationships/image" Target="countries_img/MT.gif" TargetMode="External"/><Relationship Id="rId19" Type="http://schemas.openxmlformats.org/officeDocument/2006/relationships/image" Target="countries_img/KR.gif" TargetMode="External"/><Relationship Id="rId14" Type="http://schemas.openxmlformats.org/officeDocument/2006/relationships/image" Target="countries_img/AU.gif" TargetMode="External"/><Relationship Id="rId22" Type="http://schemas.openxmlformats.org/officeDocument/2006/relationships/image" Target="countries_img/GR02.gif" TargetMode="External"/><Relationship Id="rId27" Type="http://schemas.openxmlformats.org/officeDocument/2006/relationships/image" Target="countries_img/JM.gif" TargetMode="External"/><Relationship Id="rId30" Type="http://schemas.openxmlformats.org/officeDocument/2006/relationships/image" Target="countries_img/ES.gif" TargetMode="External"/><Relationship Id="rId35" Type="http://schemas.openxmlformats.org/officeDocument/2006/relationships/image" Target="countries_img/CZ.gif" TargetMode="External"/><Relationship Id="rId43" Type="http://schemas.openxmlformats.org/officeDocument/2006/relationships/image" Target="countries_img/VA.gif" TargetMode="External"/><Relationship Id="rId48" Type="http://schemas.openxmlformats.org/officeDocument/2006/relationships/image" Target="countries_img/FI.gif" TargetMode="External"/><Relationship Id="rId56" Type="http://schemas.openxmlformats.org/officeDocument/2006/relationships/image" Target="countries_img/PE.gif" TargetMode="External"/><Relationship Id="rId64" Type="http://schemas.openxmlformats.org/officeDocument/2006/relationships/image" Target="countries_img/MM.gif" TargetMode="External"/><Relationship Id="rId69" Type="http://schemas.openxmlformats.org/officeDocument/2006/relationships/image" Target="countries_img/MO.gif" TargetMode="External"/><Relationship Id="rId8" Type="http://schemas.openxmlformats.org/officeDocument/2006/relationships/image" Target="countries_img/IT.gif" TargetMode="External"/><Relationship Id="rId51" Type="http://schemas.openxmlformats.org/officeDocument/2006/relationships/image" Target="countries_img/BG.gif" TargetMode="External"/><Relationship Id="rId72" Type="http://schemas.openxmlformats.org/officeDocument/2006/relationships/image" Target="countries_img/LT.gif" TargetMode="External"/><Relationship Id="rId3" Type="http://schemas.openxmlformats.org/officeDocument/2006/relationships/image" Target="countries_img/US.gif" TargetMode="External"/><Relationship Id="rId12" Type="http://schemas.openxmlformats.org/officeDocument/2006/relationships/image" Target="countries_img/EC.gif" TargetMode="External"/><Relationship Id="rId17" Type="http://schemas.openxmlformats.org/officeDocument/2006/relationships/image" Target="countries_img/GY.gif" TargetMode="External"/><Relationship Id="rId25" Type="http://schemas.openxmlformats.org/officeDocument/2006/relationships/image" Target="countries_img/SA.gif" TargetMode="External"/><Relationship Id="rId33" Type="http://schemas.openxmlformats.org/officeDocument/2006/relationships/image" Target="countries_img/SI.gif" TargetMode="External"/><Relationship Id="rId38" Type="http://schemas.openxmlformats.org/officeDocument/2006/relationships/image" Target="countries_img/DK.gif" TargetMode="External"/><Relationship Id="rId46" Type="http://schemas.openxmlformats.org/officeDocument/2006/relationships/image" Target="countries_img/FJ.gif" TargetMode="External"/><Relationship Id="rId59" Type="http://schemas.openxmlformats.org/officeDocument/2006/relationships/image" Target="countries_img/BO.gif" TargetMode="External"/><Relationship Id="rId67" Type="http://schemas.openxmlformats.org/officeDocument/2006/relationships/image" Target="countries_img/MA.gif" TargetMode="External"/><Relationship Id="rId20" Type="http://schemas.openxmlformats.org/officeDocument/2006/relationships/image" Target="countries_img/KH.gif" TargetMode="External"/><Relationship Id="rId41" Type="http://schemas.openxmlformats.org/officeDocument/2006/relationships/image" Target="countries_img/JP.gif" TargetMode="External"/><Relationship Id="rId54" Type="http://schemas.openxmlformats.org/officeDocument/2006/relationships/image" Target="countries_img/BJ.gif" TargetMode="External"/><Relationship Id="rId62" Type="http://schemas.openxmlformats.org/officeDocument/2006/relationships/image" Target="countries_img/MY.gif" TargetMode="External"/><Relationship Id="rId70" Type="http://schemas.openxmlformats.org/officeDocument/2006/relationships/image" Target="countries_img/LA.gif" TargetMode="External"/><Relationship Id="rId75" Type="http://schemas.openxmlformats.org/officeDocument/2006/relationships/image" Target="countries_img/RU.gif" TargetMode="External"/><Relationship Id="rId1" Type="http://schemas.openxmlformats.org/officeDocument/2006/relationships/image" Target="countries_img/IE.gif" TargetMode="External"/><Relationship Id="rId6" Type="http://schemas.openxmlformats.org/officeDocument/2006/relationships/image" Target="countries_img/GB.gif" TargetMode="External"/><Relationship Id="rId15" Type="http://schemas.openxmlformats.org/officeDocument/2006/relationships/image" Target="countries_img/AT.gif" TargetMode="External"/><Relationship Id="rId23" Type="http://schemas.openxmlformats.org/officeDocument/2006/relationships/image" Target="countries_img/HR.gif" TargetMode="External"/><Relationship Id="rId28" Type="http://schemas.openxmlformats.org/officeDocument/2006/relationships/image" Target="countries_img/SG.gif" TargetMode="External"/><Relationship Id="rId36" Type="http://schemas.openxmlformats.org/officeDocument/2006/relationships/image" Target="countries_img/CN.gif" TargetMode="External"/><Relationship Id="rId49" Type="http://schemas.openxmlformats.org/officeDocument/2006/relationships/image" Target="countries_img/BR.gif" TargetMode="External"/><Relationship Id="rId57" Type="http://schemas.openxmlformats.org/officeDocument/2006/relationships/image" Target="countries_img/BE.gif" TargetMode="External"/><Relationship Id="rId10" Type="http://schemas.openxmlformats.org/officeDocument/2006/relationships/image" Target="countries_img/ID.gif" TargetMode="External"/><Relationship Id="rId31" Type="http://schemas.openxmlformats.org/officeDocument/2006/relationships/image" Target="countries_img/SR.gif" TargetMode="External"/><Relationship Id="rId44" Type="http://schemas.openxmlformats.org/officeDocument/2006/relationships/image" Target="countries_img/PY.gif" TargetMode="External"/><Relationship Id="rId52" Type="http://schemas.openxmlformats.org/officeDocument/2006/relationships/image" Target="countries_img/BN.gif" TargetMode="External"/><Relationship Id="rId60" Type="http://schemas.openxmlformats.org/officeDocument/2006/relationships/image" Target="countries_img/PT.gif" TargetMode="External"/><Relationship Id="rId65" Type="http://schemas.openxmlformats.org/officeDocument/2006/relationships/image" Target="countries_img/MX.gif" TargetMode="External"/><Relationship Id="rId73" Type="http://schemas.openxmlformats.org/officeDocument/2006/relationships/image" Target="countries_img/RO.gif" TargetMode="External"/><Relationship Id="rId4" Type="http://schemas.openxmlformats.org/officeDocument/2006/relationships/image" Target="countries_img/AEL.GIF" TargetMode="External"/><Relationship Id="rId9" Type="http://schemas.openxmlformats.org/officeDocument/2006/relationships/image" Target="countries_img/IN.gif" TargetMode="External"/><Relationship Id="rId13" Type="http://schemas.openxmlformats.org/officeDocument/2006/relationships/image" Target="countries_img/EE.gif" TargetMode="External"/><Relationship Id="rId18" Type="http://schemas.openxmlformats.org/officeDocument/2006/relationships/image" Target="countries_img/CA.gif" TargetMode="External"/><Relationship Id="rId39" Type="http://schemas.openxmlformats.org/officeDocument/2006/relationships/image" Target="countries_img/DE.gif" TargetMode="External"/><Relationship Id="rId34" Type="http://schemas.openxmlformats.org/officeDocument/2006/relationships/image" Target="countries_img/TH.gif" TargetMode="External"/><Relationship Id="rId50" Type="http://schemas.openxmlformats.org/officeDocument/2006/relationships/image" Target="countries_img/FR.gif" TargetMode="External"/><Relationship Id="rId55" Type="http://schemas.openxmlformats.org/officeDocument/2006/relationships/image" Target="countries_img/VE.gif" TargetMode="External"/><Relationship Id="rId7" Type="http://schemas.openxmlformats.org/officeDocument/2006/relationships/image" Target="countries_img/IL.gif" TargetMode="External"/><Relationship Id="rId71" Type="http://schemas.openxmlformats.org/officeDocument/2006/relationships/image" Target="countries_img/LV.gi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24</xdr:row>
          <xdr:rowOff>152400</xdr:rowOff>
        </xdr:from>
        <xdr:to>
          <xdr:col>6</xdr:col>
          <xdr:colOff>0</xdr:colOff>
          <xdr:row>26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28</xdr:row>
          <xdr:rowOff>165100</xdr:rowOff>
        </xdr:from>
        <xdr:to>
          <xdr:col>6</xdr:col>
          <xdr:colOff>0</xdr:colOff>
          <xdr:row>29</xdr:row>
          <xdr:rowOff>495300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831850</xdr:colOff>
          <xdr:row>21</xdr:row>
          <xdr:rowOff>476250</xdr:rowOff>
        </xdr:from>
        <xdr:to>
          <xdr:col>9</xdr:col>
          <xdr:colOff>0</xdr:colOff>
          <xdr:row>26</xdr:row>
          <xdr:rowOff>31750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画像削除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831850</xdr:colOff>
          <xdr:row>12</xdr:row>
          <xdr:rowOff>50800</xdr:rowOff>
        </xdr:from>
        <xdr:to>
          <xdr:col>9</xdr:col>
          <xdr:colOff>19050</xdr:colOff>
          <xdr:row>15</xdr:row>
          <xdr:rowOff>488950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Arial"/>
                </a:rPr>
                <a:t>の列を埋める</a:t>
              </a:r>
              <a:endParaRPr lang="ja-JP" altLang="en-US" sz="2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831850</xdr:colOff>
          <xdr:row>1</xdr:row>
          <xdr:rowOff>38100</xdr:rowOff>
        </xdr:from>
        <xdr:to>
          <xdr:col>9</xdr:col>
          <xdr:colOff>19050</xdr:colOff>
          <xdr:row>4</xdr:row>
          <xdr:rowOff>476250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画像削除</a:t>
              </a:r>
              <a:endParaRPr lang="ja-JP" altLang="en-US" sz="2200" b="0" i="0" u="none" strike="noStrike" baseline="0">
                <a:solidFill>
                  <a:srgbClr val="000000"/>
                </a:solidFill>
                <a:latin typeface="Arial"/>
                <a:ea typeface="ＭＳ Ｐゴシック"/>
                <a:cs typeface="Arial"/>
              </a:endParaRPr>
            </a:p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C,G</a:t>
              </a: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Arial"/>
                </a:rPr>
                <a:t>の列を埋める</a:t>
              </a:r>
              <a:endParaRPr lang="ja-JP" altLang="en-US" sz="2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831850</xdr:colOff>
          <xdr:row>17</xdr:row>
          <xdr:rowOff>19050</xdr:rowOff>
        </xdr:from>
        <xdr:to>
          <xdr:col>9</xdr:col>
          <xdr:colOff>19050</xdr:colOff>
          <xdr:row>20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Arial"/>
                </a:rPr>
                <a:t>の列を埋める</a:t>
              </a:r>
              <a:endParaRPr lang="ja-JP" altLang="en-US" sz="2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</xdr:colOff>
      <xdr:row>0</xdr:row>
      <xdr:rowOff>0</xdr:rowOff>
    </xdr:from>
    <xdr:to>
      <xdr:col>2</xdr:col>
      <xdr:colOff>758614</xdr:colOff>
      <xdr:row>1</xdr:row>
      <xdr:rowOff>0</xdr:rowOff>
    </xdr:to>
    <xdr:pic>
      <xdr:nvPicPr>
        <xdr:cNvPr id="1867" name="図 1866">
          <a:extLst>
            <a:ext uri="{FF2B5EF4-FFF2-40B4-BE49-F238E27FC236}">
              <a16:creationId xmlns:a16="http://schemas.microsoft.com/office/drawing/2014/main" id="{128A83C3-3866-0735-62E3-8ECCAEE3D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5201" y="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</xdr:row>
      <xdr:rowOff>0</xdr:rowOff>
    </xdr:from>
    <xdr:to>
      <xdr:col>2</xdr:col>
      <xdr:colOff>758614</xdr:colOff>
      <xdr:row>2</xdr:row>
      <xdr:rowOff>0</xdr:rowOff>
    </xdr:to>
    <xdr:pic>
      <xdr:nvPicPr>
        <xdr:cNvPr id="1869" name="図 1868">
          <a:extLst>
            <a:ext uri="{FF2B5EF4-FFF2-40B4-BE49-F238E27FC236}">
              <a16:creationId xmlns:a16="http://schemas.microsoft.com/office/drawing/2014/main" id="{8FEF39E3-2753-72B4-B7EC-3AF0C9037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5201" y="50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</xdr:row>
      <xdr:rowOff>0</xdr:rowOff>
    </xdr:from>
    <xdr:to>
      <xdr:col>2</xdr:col>
      <xdr:colOff>758614</xdr:colOff>
      <xdr:row>3</xdr:row>
      <xdr:rowOff>0</xdr:rowOff>
    </xdr:to>
    <xdr:pic>
      <xdr:nvPicPr>
        <xdr:cNvPr id="1871" name="図 1870">
          <a:extLst>
            <a:ext uri="{FF2B5EF4-FFF2-40B4-BE49-F238E27FC236}">
              <a16:creationId xmlns:a16="http://schemas.microsoft.com/office/drawing/2014/main" id="{742DFE07-1CB3-5F4B-3729-0220CA5BD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5201" y="1016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3</xdr:row>
      <xdr:rowOff>0</xdr:rowOff>
    </xdr:from>
    <xdr:to>
      <xdr:col>2</xdr:col>
      <xdr:colOff>1016568</xdr:colOff>
      <xdr:row>4</xdr:row>
      <xdr:rowOff>0</xdr:rowOff>
    </xdr:to>
    <xdr:pic>
      <xdr:nvPicPr>
        <xdr:cNvPr id="1873" name="図 1872">
          <a:extLst>
            <a:ext uri="{FF2B5EF4-FFF2-40B4-BE49-F238E27FC236}">
              <a16:creationId xmlns:a16="http://schemas.microsoft.com/office/drawing/2014/main" id="{DDFBFEE5-2E0C-9FD0-E4A3-47614DE45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5201" y="1524000"/>
          <a:ext cx="1016567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507999</xdr:rowOff>
    </xdr:from>
    <xdr:to>
      <xdr:col>2</xdr:col>
      <xdr:colOff>765387</xdr:colOff>
      <xdr:row>4</xdr:row>
      <xdr:rowOff>507999</xdr:rowOff>
    </xdr:to>
    <xdr:pic>
      <xdr:nvPicPr>
        <xdr:cNvPr id="1875" name="図 1874">
          <a:extLst>
            <a:ext uri="{FF2B5EF4-FFF2-40B4-BE49-F238E27FC236}">
              <a16:creationId xmlns:a16="http://schemas.microsoft.com/office/drawing/2014/main" id="{AA270FE6-B08D-7F07-7C60-49B29C6BF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5200" y="2031999"/>
          <a:ext cx="765387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5</xdr:row>
      <xdr:rowOff>0</xdr:rowOff>
    </xdr:from>
    <xdr:to>
      <xdr:col>2</xdr:col>
      <xdr:colOff>758614</xdr:colOff>
      <xdr:row>6</xdr:row>
      <xdr:rowOff>0</xdr:rowOff>
    </xdr:to>
    <xdr:pic>
      <xdr:nvPicPr>
        <xdr:cNvPr id="1877" name="図 1876">
          <a:extLst>
            <a:ext uri="{FF2B5EF4-FFF2-40B4-BE49-F238E27FC236}">
              <a16:creationId xmlns:a16="http://schemas.microsoft.com/office/drawing/2014/main" id="{21BC2289-F9CC-0F4D-9791-AD7466B08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5201" y="2540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6</xdr:row>
      <xdr:rowOff>0</xdr:rowOff>
    </xdr:from>
    <xdr:to>
      <xdr:col>2</xdr:col>
      <xdr:colOff>758614</xdr:colOff>
      <xdr:row>7</xdr:row>
      <xdr:rowOff>0</xdr:rowOff>
    </xdr:to>
    <xdr:pic>
      <xdr:nvPicPr>
        <xdr:cNvPr id="1879" name="図 1878">
          <a:extLst>
            <a:ext uri="{FF2B5EF4-FFF2-40B4-BE49-F238E27FC236}">
              <a16:creationId xmlns:a16="http://schemas.microsoft.com/office/drawing/2014/main" id="{E8B6130B-7253-CB04-3EAA-62209E4B5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35201" y="304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7</xdr:row>
      <xdr:rowOff>0</xdr:rowOff>
    </xdr:from>
    <xdr:to>
      <xdr:col>2</xdr:col>
      <xdr:colOff>758614</xdr:colOff>
      <xdr:row>8</xdr:row>
      <xdr:rowOff>0</xdr:rowOff>
    </xdr:to>
    <xdr:pic>
      <xdr:nvPicPr>
        <xdr:cNvPr id="1881" name="図 1880">
          <a:extLst>
            <a:ext uri="{FF2B5EF4-FFF2-40B4-BE49-F238E27FC236}">
              <a16:creationId xmlns:a16="http://schemas.microsoft.com/office/drawing/2014/main" id="{04AF0032-EFFD-C90D-99BC-7CF8F3BA2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235201" y="3556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8</xdr:row>
      <xdr:rowOff>0</xdr:rowOff>
    </xdr:from>
    <xdr:to>
      <xdr:col>2</xdr:col>
      <xdr:colOff>758614</xdr:colOff>
      <xdr:row>9</xdr:row>
      <xdr:rowOff>0</xdr:rowOff>
    </xdr:to>
    <xdr:pic>
      <xdr:nvPicPr>
        <xdr:cNvPr id="1883" name="図 1882">
          <a:extLst>
            <a:ext uri="{FF2B5EF4-FFF2-40B4-BE49-F238E27FC236}">
              <a16:creationId xmlns:a16="http://schemas.microsoft.com/office/drawing/2014/main" id="{7D0087C8-89B4-E7B7-66B3-56C0EEB94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35201" y="4064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9</xdr:row>
      <xdr:rowOff>0</xdr:rowOff>
    </xdr:from>
    <xdr:to>
      <xdr:col>2</xdr:col>
      <xdr:colOff>758614</xdr:colOff>
      <xdr:row>10</xdr:row>
      <xdr:rowOff>0</xdr:rowOff>
    </xdr:to>
    <xdr:pic>
      <xdr:nvPicPr>
        <xdr:cNvPr id="1885" name="図 1884">
          <a:extLst>
            <a:ext uri="{FF2B5EF4-FFF2-40B4-BE49-F238E27FC236}">
              <a16:creationId xmlns:a16="http://schemas.microsoft.com/office/drawing/2014/main" id="{E52617C0-2DE6-9C15-2B9E-5F4CC1331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235201" y="4572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10</xdr:row>
      <xdr:rowOff>0</xdr:rowOff>
    </xdr:from>
    <xdr:to>
      <xdr:col>2</xdr:col>
      <xdr:colOff>758614</xdr:colOff>
      <xdr:row>11</xdr:row>
      <xdr:rowOff>0</xdr:rowOff>
    </xdr:to>
    <xdr:pic>
      <xdr:nvPicPr>
        <xdr:cNvPr id="1887" name="図 1886">
          <a:extLst>
            <a:ext uri="{FF2B5EF4-FFF2-40B4-BE49-F238E27FC236}">
              <a16:creationId xmlns:a16="http://schemas.microsoft.com/office/drawing/2014/main" id="{CCB5653A-F86C-04FB-A8C6-9F2826290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235201" y="5080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11</xdr:row>
      <xdr:rowOff>0</xdr:rowOff>
    </xdr:from>
    <xdr:to>
      <xdr:col>2</xdr:col>
      <xdr:colOff>758614</xdr:colOff>
      <xdr:row>12</xdr:row>
      <xdr:rowOff>0</xdr:rowOff>
    </xdr:to>
    <xdr:pic>
      <xdr:nvPicPr>
        <xdr:cNvPr id="1889" name="図 1888">
          <a:extLst>
            <a:ext uri="{FF2B5EF4-FFF2-40B4-BE49-F238E27FC236}">
              <a16:creationId xmlns:a16="http://schemas.microsoft.com/office/drawing/2014/main" id="{5523611F-C299-1D76-26FA-4732B1BE2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2235201" y="558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12</xdr:row>
      <xdr:rowOff>0</xdr:rowOff>
    </xdr:from>
    <xdr:to>
      <xdr:col>2</xdr:col>
      <xdr:colOff>758614</xdr:colOff>
      <xdr:row>13</xdr:row>
      <xdr:rowOff>0</xdr:rowOff>
    </xdr:to>
    <xdr:pic>
      <xdr:nvPicPr>
        <xdr:cNvPr id="1891" name="図 1890">
          <a:extLst>
            <a:ext uri="{FF2B5EF4-FFF2-40B4-BE49-F238E27FC236}">
              <a16:creationId xmlns:a16="http://schemas.microsoft.com/office/drawing/2014/main" id="{FF048CA1-1121-9BA5-BEE3-D24CCF67D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2235201" y="6096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13</xdr:row>
      <xdr:rowOff>0</xdr:rowOff>
    </xdr:from>
    <xdr:to>
      <xdr:col>2</xdr:col>
      <xdr:colOff>758614</xdr:colOff>
      <xdr:row>14</xdr:row>
      <xdr:rowOff>0</xdr:rowOff>
    </xdr:to>
    <xdr:pic>
      <xdr:nvPicPr>
        <xdr:cNvPr id="1893" name="図 1892">
          <a:extLst>
            <a:ext uri="{FF2B5EF4-FFF2-40B4-BE49-F238E27FC236}">
              <a16:creationId xmlns:a16="http://schemas.microsoft.com/office/drawing/2014/main" id="{120A646A-11AC-09D4-8C39-1B87EEA58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2235201" y="6604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14</xdr:row>
      <xdr:rowOff>0</xdr:rowOff>
    </xdr:from>
    <xdr:to>
      <xdr:col>2</xdr:col>
      <xdr:colOff>758614</xdr:colOff>
      <xdr:row>15</xdr:row>
      <xdr:rowOff>0</xdr:rowOff>
    </xdr:to>
    <xdr:pic>
      <xdr:nvPicPr>
        <xdr:cNvPr id="1895" name="図 1894">
          <a:extLst>
            <a:ext uri="{FF2B5EF4-FFF2-40B4-BE49-F238E27FC236}">
              <a16:creationId xmlns:a16="http://schemas.microsoft.com/office/drawing/2014/main" id="{E56B589C-6D46-6CAA-87F3-0499F058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2235201" y="7112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15</xdr:row>
      <xdr:rowOff>0</xdr:rowOff>
    </xdr:from>
    <xdr:to>
      <xdr:col>2</xdr:col>
      <xdr:colOff>758614</xdr:colOff>
      <xdr:row>16</xdr:row>
      <xdr:rowOff>0</xdr:rowOff>
    </xdr:to>
    <xdr:pic>
      <xdr:nvPicPr>
        <xdr:cNvPr id="1897" name="図 1896">
          <a:extLst>
            <a:ext uri="{FF2B5EF4-FFF2-40B4-BE49-F238E27FC236}">
              <a16:creationId xmlns:a16="http://schemas.microsoft.com/office/drawing/2014/main" id="{0C507D6B-A4B5-DDA8-9BCE-2ECD9F7A4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2235201" y="7620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16</xdr:row>
      <xdr:rowOff>0</xdr:rowOff>
    </xdr:from>
    <xdr:to>
      <xdr:col>2</xdr:col>
      <xdr:colOff>758614</xdr:colOff>
      <xdr:row>17</xdr:row>
      <xdr:rowOff>0</xdr:rowOff>
    </xdr:to>
    <xdr:pic>
      <xdr:nvPicPr>
        <xdr:cNvPr id="1899" name="図 1898">
          <a:extLst>
            <a:ext uri="{FF2B5EF4-FFF2-40B4-BE49-F238E27FC236}">
              <a16:creationId xmlns:a16="http://schemas.microsoft.com/office/drawing/2014/main" id="{429327D6-7F17-797C-FABC-51B25C51F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2235201" y="812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17</xdr:row>
      <xdr:rowOff>0</xdr:rowOff>
    </xdr:from>
    <xdr:to>
      <xdr:col>2</xdr:col>
      <xdr:colOff>758614</xdr:colOff>
      <xdr:row>18</xdr:row>
      <xdr:rowOff>0</xdr:rowOff>
    </xdr:to>
    <xdr:pic>
      <xdr:nvPicPr>
        <xdr:cNvPr id="1901" name="図 1900">
          <a:extLst>
            <a:ext uri="{FF2B5EF4-FFF2-40B4-BE49-F238E27FC236}">
              <a16:creationId xmlns:a16="http://schemas.microsoft.com/office/drawing/2014/main" id="{91632872-0E6B-0897-72B3-C7546AA23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2235201" y="8636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18</xdr:row>
      <xdr:rowOff>0</xdr:rowOff>
    </xdr:from>
    <xdr:to>
      <xdr:col>2</xdr:col>
      <xdr:colOff>758614</xdr:colOff>
      <xdr:row>19</xdr:row>
      <xdr:rowOff>0</xdr:rowOff>
    </xdr:to>
    <xdr:pic>
      <xdr:nvPicPr>
        <xdr:cNvPr id="1903" name="図 1902">
          <a:extLst>
            <a:ext uri="{FF2B5EF4-FFF2-40B4-BE49-F238E27FC236}">
              <a16:creationId xmlns:a16="http://schemas.microsoft.com/office/drawing/2014/main" id="{3823D9FE-836C-93E5-D260-51214E8C3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2235201" y="9144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19</xdr:row>
      <xdr:rowOff>0</xdr:rowOff>
    </xdr:from>
    <xdr:to>
      <xdr:col>2</xdr:col>
      <xdr:colOff>758614</xdr:colOff>
      <xdr:row>20</xdr:row>
      <xdr:rowOff>0</xdr:rowOff>
    </xdr:to>
    <xdr:pic>
      <xdr:nvPicPr>
        <xdr:cNvPr id="1905" name="図 1904">
          <a:extLst>
            <a:ext uri="{FF2B5EF4-FFF2-40B4-BE49-F238E27FC236}">
              <a16:creationId xmlns:a16="http://schemas.microsoft.com/office/drawing/2014/main" id="{0FA01475-5899-CBF4-A361-4A6493E2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235201" y="9652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20</xdr:row>
      <xdr:rowOff>0</xdr:rowOff>
    </xdr:from>
    <xdr:to>
      <xdr:col>2</xdr:col>
      <xdr:colOff>758614</xdr:colOff>
      <xdr:row>21</xdr:row>
      <xdr:rowOff>0</xdr:rowOff>
    </xdr:to>
    <xdr:pic>
      <xdr:nvPicPr>
        <xdr:cNvPr id="1907" name="図 1906">
          <a:extLst>
            <a:ext uri="{FF2B5EF4-FFF2-40B4-BE49-F238E27FC236}">
              <a16:creationId xmlns:a16="http://schemas.microsoft.com/office/drawing/2014/main" id="{98523F7E-1DC9-B8CA-A1A0-7C7AE8C09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2235201" y="10160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21</xdr:row>
      <xdr:rowOff>0</xdr:rowOff>
    </xdr:from>
    <xdr:to>
      <xdr:col>2</xdr:col>
      <xdr:colOff>758614</xdr:colOff>
      <xdr:row>22</xdr:row>
      <xdr:rowOff>0</xdr:rowOff>
    </xdr:to>
    <xdr:pic>
      <xdr:nvPicPr>
        <xdr:cNvPr id="1909" name="図 1908">
          <a:extLst>
            <a:ext uri="{FF2B5EF4-FFF2-40B4-BE49-F238E27FC236}">
              <a16:creationId xmlns:a16="http://schemas.microsoft.com/office/drawing/2014/main" id="{74BA477B-17A8-5DE6-9E42-762559F16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2235201" y="1066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22</xdr:row>
      <xdr:rowOff>0</xdr:rowOff>
    </xdr:from>
    <xdr:to>
      <xdr:col>2</xdr:col>
      <xdr:colOff>758614</xdr:colOff>
      <xdr:row>23</xdr:row>
      <xdr:rowOff>0</xdr:rowOff>
    </xdr:to>
    <xdr:pic>
      <xdr:nvPicPr>
        <xdr:cNvPr id="1911" name="図 1910">
          <a:extLst>
            <a:ext uri="{FF2B5EF4-FFF2-40B4-BE49-F238E27FC236}">
              <a16:creationId xmlns:a16="http://schemas.microsoft.com/office/drawing/2014/main" id="{6292229B-B99E-6109-5E4E-D48EE5CFE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2235201" y="11176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23</xdr:row>
      <xdr:rowOff>0</xdr:rowOff>
    </xdr:from>
    <xdr:to>
      <xdr:col>2</xdr:col>
      <xdr:colOff>758614</xdr:colOff>
      <xdr:row>24</xdr:row>
      <xdr:rowOff>0</xdr:rowOff>
    </xdr:to>
    <xdr:pic>
      <xdr:nvPicPr>
        <xdr:cNvPr id="1913" name="図 1912">
          <a:extLst>
            <a:ext uri="{FF2B5EF4-FFF2-40B4-BE49-F238E27FC236}">
              <a16:creationId xmlns:a16="http://schemas.microsoft.com/office/drawing/2014/main" id="{DD136BCE-F7D3-E9A2-69C4-4A92264D2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2235201" y="11684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24</xdr:row>
      <xdr:rowOff>0</xdr:rowOff>
    </xdr:from>
    <xdr:to>
      <xdr:col>2</xdr:col>
      <xdr:colOff>758614</xdr:colOff>
      <xdr:row>25</xdr:row>
      <xdr:rowOff>0</xdr:rowOff>
    </xdr:to>
    <xdr:pic>
      <xdr:nvPicPr>
        <xdr:cNvPr id="1915" name="図 1914">
          <a:extLst>
            <a:ext uri="{FF2B5EF4-FFF2-40B4-BE49-F238E27FC236}">
              <a16:creationId xmlns:a16="http://schemas.microsoft.com/office/drawing/2014/main" id="{CD48B757-ABE5-A14B-6A9E-15C7ACF89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2235201" y="12192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25</xdr:row>
      <xdr:rowOff>0</xdr:rowOff>
    </xdr:from>
    <xdr:to>
      <xdr:col>2</xdr:col>
      <xdr:colOff>758614</xdr:colOff>
      <xdr:row>26</xdr:row>
      <xdr:rowOff>0</xdr:rowOff>
    </xdr:to>
    <xdr:pic>
      <xdr:nvPicPr>
        <xdr:cNvPr id="1917" name="図 1916">
          <a:extLst>
            <a:ext uri="{FF2B5EF4-FFF2-40B4-BE49-F238E27FC236}">
              <a16:creationId xmlns:a16="http://schemas.microsoft.com/office/drawing/2014/main" id="{469270B0-1FE7-EC31-1CBB-6693632EF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2235201" y="12700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26</xdr:row>
      <xdr:rowOff>0</xdr:rowOff>
    </xdr:from>
    <xdr:to>
      <xdr:col>2</xdr:col>
      <xdr:colOff>758614</xdr:colOff>
      <xdr:row>27</xdr:row>
      <xdr:rowOff>0</xdr:rowOff>
    </xdr:to>
    <xdr:pic>
      <xdr:nvPicPr>
        <xdr:cNvPr id="1919" name="図 1918">
          <a:extLst>
            <a:ext uri="{FF2B5EF4-FFF2-40B4-BE49-F238E27FC236}">
              <a16:creationId xmlns:a16="http://schemas.microsoft.com/office/drawing/2014/main" id="{79E00276-CD5B-3946-EB5A-6181F47FC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2235201" y="1320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27</xdr:row>
      <xdr:rowOff>0</xdr:rowOff>
    </xdr:from>
    <xdr:to>
      <xdr:col>2</xdr:col>
      <xdr:colOff>758614</xdr:colOff>
      <xdr:row>28</xdr:row>
      <xdr:rowOff>0</xdr:rowOff>
    </xdr:to>
    <xdr:pic>
      <xdr:nvPicPr>
        <xdr:cNvPr id="1921" name="図 1920">
          <a:extLst>
            <a:ext uri="{FF2B5EF4-FFF2-40B4-BE49-F238E27FC236}">
              <a16:creationId xmlns:a16="http://schemas.microsoft.com/office/drawing/2014/main" id="{2E36D9B8-E04D-E85C-376F-E8C65FE05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2235201" y="13716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28</xdr:row>
      <xdr:rowOff>0</xdr:rowOff>
    </xdr:from>
    <xdr:to>
      <xdr:col>2</xdr:col>
      <xdr:colOff>758614</xdr:colOff>
      <xdr:row>29</xdr:row>
      <xdr:rowOff>0</xdr:rowOff>
    </xdr:to>
    <xdr:pic>
      <xdr:nvPicPr>
        <xdr:cNvPr id="1923" name="図 1922">
          <a:extLst>
            <a:ext uri="{FF2B5EF4-FFF2-40B4-BE49-F238E27FC236}">
              <a16:creationId xmlns:a16="http://schemas.microsoft.com/office/drawing/2014/main" id="{48DA4C98-9A02-0517-BD56-81F98F857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2235201" y="14224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29</xdr:row>
      <xdr:rowOff>0</xdr:rowOff>
    </xdr:from>
    <xdr:to>
      <xdr:col>2</xdr:col>
      <xdr:colOff>758614</xdr:colOff>
      <xdr:row>30</xdr:row>
      <xdr:rowOff>0</xdr:rowOff>
    </xdr:to>
    <xdr:pic>
      <xdr:nvPicPr>
        <xdr:cNvPr id="1925" name="図 1924">
          <a:extLst>
            <a:ext uri="{FF2B5EF4-FFF2-40B4-BE49-F238E27FC236}">
              <a16:creationId xmlns:a16="http://schemas.microsoft.com/office/drawing/2014/main" id="{A8A10CDF-7A47-0A6A-C6F0-6FD10D864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2235201" y="14732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30</xdr:row>
      <xdr:rowOff>0</xdr:rowOff>
    </xdr:from>
    <xdr:to>
      <xdr:col>2</xdr:col>
      <xdr:colOff>758614</xdr:colOff>
      <xdr:row>31</xdr:row>
      <xdr:rowOff>0</xdr:rowOff>
    </xdr:to>
    <xdr:pic>
      <xdr:nvPicPr>
        <xdr:cNvPr id="1927" name="図 1926">
          <a:extLst>
            <a:ext uri="{FF2B5EF4-FFF2-40B4-BE49-F238E27FC236}">
              <a16:creationId xmlns:a16="http://schemas.microsoft.com/office/drawing/2014/main" id="{747968C6-CECE-A5A1-320F-8DDE9168A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2235201" y="15240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31</xdr:row>
      <xdr:rowOff>0</xdr:rowOff>
    </xdr:from>
    <xdr:to>
      <xdr:col>2</xdr:col>
      <xdr:colOff>758614</xdr:colOff>
      <xdr:row>32</xdr:row>
      <xdr:rowOff>0</xdr:rowOff>
    </xdr:to>
    <xdr:pic>
      <xdr:nvPicPr>
        <xdr:cNvPr id="1929" name="図 1928">
          <a:extLst>
            <a:ext uri="{FF2B5EF4-FFF2-40B4-BE49-F238E27FC236}">
              <a16:creationId xmlns:a16="http://schemas.microsoft.com/office/drawing/2014/main" id="{3968B0A5-C8B3-A23E-9A8F-6ED08DCF3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2235201" y="1574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32</xdr:row>
      <xdr:rowOff>0</xdr:rowOff>
    </xdr:from>
    <xdr:to>
      <xdr:col>2</xdr:col>
      <xdr:colOff>758614</xdr:colOff>
      <xdr:row>33</xdr:row>
      <xdr:rowOff>0</xdr:rowOff>
    </xdr:to>
    <xdr:pic>
      <xdr:nvPicPr>
        <xdr:cNvPr id="1931" name="図 1930">
          <a:extLst>
            <a:ext uri="{FF2B5EF4-FFF2-40B4-BE49-F238E27FC236}">
              <a16:creationId xmlns:a16="http://schemas.microsoft.com/office/drawing/2014/main" id="{A9E049BF-A8F3-1CB4-2191-47EF05F8F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2235201" y="16256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33</xdr:row>
      <xdr:rowOff>0</xdr:rowOff>
    </xdr:from>
    <xdr:to>
      <xdr:col>2</xdr:col>
      <xdr:colOff>758614</xdr:colOff>
      <xdr:row>34</xdr:row>
      <xdr:rowOff>0</xdr:rowOff>
    </xdr:to>
    <xdr:pic>
      <xdr:nvPicPr>
        <xdr:cNvPr id="1933" name="図 1932">
          <a:extLst>
            <a:ext uri="{FF2B5EF4-FFF2-40B4-BE49-F238E27FC236}">
              <a16:creationId xmlns:a16="http://schemas.microsoft.com/office/drawing/2014/main" id="{883915AA-62AF-89EF-DB53-46886B2AF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2235201" y="16764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34</xdr:row>
      <xdr:rowOff>0</xdr:rowOff>
    </xdr:from>
    <xdr:to>
      <xdr:col>2</xdr:col>
      <xdr:colOff>758614</xdr:colOff>
      <xdr:row>35</xdr:row>
      <xdr:rowOff>0</xdr:rowOff>
    </xdr:to>
    <xdr:pic>
      <xdr:nvPicPr>
        <xdr:cNvPr id="1935" name="図 1934">
          <a:extLst>
            <a:ext uri="{FF2B5EF4-FFF2-40B4-BE49-F238E27FC236}">
              <a16:creationId xmlns:a16="http://schemas.microsoft.com/office/drawing/2014/main" id="{7902D38C-878F-4108-8B46-AE52BC132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2235201" y="17272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35</xdr:row>
      <xdr:rowOff>0</xdr:rowOff>
    </xdr:from>
    <xdr:to>
      <xdr:col>2</xdr:col>
      <xdr:colOff>758614</xdr:colOff>
      <xdr:row>36</xdr:row>
      <xdr:rowOff>0</xdr:rowOff>
    </xdr:to>
    <xdr:pic>
      <xdr:nvPicPr>
        <xdr:cNvPr id="1937" name="図 1936">
          <a:extLst>
            <a:ext uri="{FF2B5EF4-FFF2-40B4-BE49-F238E27FC236}">
              <a16:creationId xmlns:a16="http://schemas.microsoft.com/office/drawing/2014/main" id="{01BB9F14-604A-D25A-0F41-A220B29F4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2235201" y="17780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36</xdr:row>
      <xdr:rowOff>0</xdr:rowOff>
    </xdr:from>
    <xdr:to>
      <xdr:col>2</xdr:col>
      <xdr:colOff>758614</xdr:colOff>
      <xdr:row>37</xdr:row>
      <xdr:rowOff>0</xdr:rowOff>
    </xdr:to>
    <xdr:pic>
      <xdr:nvPicPr>
        <xdr:cNvPr id="1939" name="図 1938">
          <a:extLst>
            <a:ext uri="{FF2B5EF4-FFF2-40B4-BE49-F238E27FC236}">
              <a16:creationId xmlns:a16="http://schemas.microsoft.com/office/drawing/2014/main" id="{7B324108-3AAC-8D76-5843-714763B5D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2235201" y="1828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37</xdr:row>
      <xdr:rowOff>0</xdr:rowOff>
    </xdr:from>
    <xdr:to>
      <xdr:col>2</xdr:col>
      <xdr:colOff>758614</xdr:colOff>
      <xdr:row>38</xdr:row>
      <xdr:rowOff>0</xdr:rowOff>
    </xdr:to>
    <xdr:pic>
      <xdr:nvPicPr>
        <xdr:cNvPr id="1941" name="図 1940">
          <a:extLst>
            <a:ext uri="{FF2B5EF4-FFF2-40B4-BE49-F238E27FC236}">
              <a16:creationId xmlns:a16="http://schemas.microsoft.com/office/drawing/2014/main" id="{6D6DDB16-7814-759F-A1B4-D0947FD17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2235201" y="18796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38</xdr:row>
      <xdr:rowOff>0</xdr:rowOff>
    </xdr:from>
    <xdr:to>
      <xdr:col>2</xdr:col>
      <xdr:colOff>758614</xdr:colOff>
      <xdr:row>39</xdr:row>
      <xdr:rowOff>0</xdr:rowOff>
    </xdr:to>
    <xdr:pic>
      <xdr:nvPicPr>
        <xdr:cNvPr id="1943" name="図 1942">
          <a:extLst>
            <a:ext uri="{FF2B5EF4-FFF2-40B4-BE49-F238E27FC236}">
              <a16:creationId xmlns:a16="http://schemas.microsoft.com/office/drawing/2014/main" id="{378F3891-2F47-1A66-BE68-7246F972A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2235201" y="19304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39</xdr:row>
      <xdr:rowOff>0</xdr:rowOff>
    </xdr:from>
    <xdr:to>
      <xdr:col>2</xdr:col>
      <xdr:colOff>758614</xdr:colOff>
      <xdr:row>40</xdr:row>
      <xdr:rowOff>0</xdr:rowOff>
    </xdr:to>
    <xdr:pic>
      <xdr:nvPicPr>
        <xdr:cNvPr id="1945" name="図 1944">
          <a:extLst>
            <a:ext uri="{FF2B5EF4-FFF2-40B4-BE49-F238E27FC236}">
              <a16:creationId xmlns:a16="http://schemas.microsoft.com/office/drawing/2014/main" id="{7EA7CEC7-9ABC-AF24-D970-0B27A4B7E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2235201" y="19812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40</xdr:row>
      <xdr:rowOff>0</xdr:rowOff>
    </xdr:from>
    <xdr:to>
      <xdr:col>2</xdr:col>
      <xdr:colOff>758614</xdr:colOff>
      <xdr:row>41</xdr:row>
      <xdr:rowOff>0</xdr:rowOff>
    </xdr:to>
    <xdr:pic>
      <xdr:nvPicPr>
        <xdr:cNvPr id="1947" name="図 1946">
          <a:extLst>
            <a:ext uri="{FF2B5EF4-FFF2-40B4-BE49-F238E27FC236}">
              <a16:creationId xmlns:a16="http://schemas.microsoft.com/office/drawing/2014/main" id="{FBD30630-8446-837C-873B-BD731DBEB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2235201" y="20320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41</xdr:row>
      <xdr:rowOff>0</xdr:rowOff>
    </xdr:from>
    <xdr:to>
      <xdr:col>2</xdr:col>
      <xdr:colOff>758614</xdr:colOff>
      <xdr:row>42</xdr:row>
      <xdr:rowOff>0</xdr:rowOff>
    </xdr:to>
    <xdr:pic>
      <xdr:nvPicPr>
        <xdr:cNvPr id="1949" name="図 1948">
          <a:extLst>
            <a:ext uri="{FF2B5EF4-FFF2-40B4-BE49-F238E27FC236}">
              <a16:creationId xmlns:a16="http://schemas.microsoft.com/office/drawing/2014/main" id="{9CEC7D33-CA22-6083-A8EB-E2C36B761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2235201" y="2082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1</xdr:col>
      <xdr:colOff>1847849</xdr:colOff>
      <xdr:row>41</xdr:row>
      <xdr:rowOff>507999</xdr:rowOff>
    </xdr:from>
    <xdr:to>
      <xdr:col>2</xdr:col>
      <xdr:colOff>507999</xdr:colOff>
      <xdr:row>42</xdr:row>
      <xdr:rowOff>507999</xdr:rowOff>
    </xdr:to>
    <xdr:pic>
      <xdr:nvPicPr>
        <xdr:cNvPr id="1951" name="図 1950">
          <a:extLst>
            <a:ext uri="{FF2B5EF4-FFF2-40B4-BE49-F238E27FC236}">
              <a16:creationId xmlns:a16="http://schemas.microsoft.com/office/drawing/2014/main" id="{42664FBD-99B9-4715-533D-A1E302651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2235199" y="21335999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43</xdr:row>
      <xdr:rowOff>0</xdr:rowOff>
    </xdr:from>
    <xdr:to>
      <xdr:col>2</xdr:col>
      <xdr:colOff>758614</xdr:colOff>
      <xdr:row>44</xdr:row>
      <xdr:rowOff>0</xdr:rowOff>
    </xdr:to>
    <xdr:pic>
      <xdr:nvPicPr>
        <xdr:cNvPr id="1953" name="図 1952">
          <a:extLst>
            <a:ext uri="{FF2B5EF4-FFF2-40B4-BE49-F238E27FC236}">
              <a16:creationId xmlns:a16="http://schemas.microsoft.com/office/drawing/2014/main" id="{E7867122-A1FB-0987-1621-33A2259A0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2235201" y="21844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44</xdr:row>
      <xdr:rowOff>0</xdr:rowOff>
    </xdr:from>
    <xdr:to>
      <xdr:col>2</xdr:col>
      <xdr:colOff>758614</xdr:colOff>
      <xdr:row>45</xdr:row>
      <xdr:rowOff>0</xdr:rowOff>
    </xdr:to>
    <xdr:pic>
      <xdr:nvPicPr>
        <xdr:cNvPr id="1955" name="図 1954">
          <a:extLst>
            <a:ext uri="{FF2B5EF4-FFF2-40B4-BE49-F238E27FC236}">
              <a16:creationId xmlns:a16="http://schemas.microsoft.com/office/drawing/2014/main" id="{7E0EBA2D-B32E-F2F5-CF36-B6F93DB41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2235201" y="22352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45</xdr:row>
      <xdr:rowOff>0</xdr:rowOff>
    </xdr:from>
    <xdr:to>
      <xdr:col>2</xdr:col>
      <xdr:colOff>758614</xdr:colOff>
      <xdr:row>46</xdr:row>
      <xdr:rowOff>0</xdr:rowOff>
    </xdr:to>
    <xdr:pic>
      <xdr:nvPicPr>
        <xdr:cNvPr id="1957" name="図 1956">
          <a:extLst>
            <a:ext uri="{FF2B5EF4-FFF2-40B4-BE49-F238E27FC236}">
              <a16:creationId xmlns:a16="http://schemas.microsoft.com/office/drawing/2014/main" id="{0D8A9F40-94B2-D7A1-F604-9D1AA362A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2235201" y="22860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46</xdr:row>
      <xdr:rowOff>0</xdr:rowOff>
    </xdr:from>
    <xdr:to>
      <xdr:col>2</xdr:col>
      <xdr:colOff>758614</xdr:colOff>
      <xdr:row>47</xdr:row>
      <xdr:rowOff>0</xdr:rowOff>
    </xdr:to>
    <xdr:pic>
      <xdr:nvPicPr>
        <xdr:cNvPr id="1959" name="図 1958">
          <a:extLst>
            <a:ext uri="{FF2B5EF4-FFF2-40B4-BE49-F238E27FC236}">
              <a16:creationId xmlns:a16="http://schemas.microsoft.com/office/drawing/2014/main" id="{7AB4A58A-1BB0-B739-5951-B9C9ED7E0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2235201" y="2336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47</xdr:row>
      <xdr:rowOff>0</xdr:rowOff>
    </xdr:from>
    <xdr:to>
      <xdr:col>2</xdr:col>
      <xdr:colOff>758614</xdr:colOff>
      <xdr:row>48</xdr:row>
      <xdr:rowOff>0</xdr:rowOff>
    </xdr:to>
    <xdr:pic>
      <xdr:nvPicPr>
        <xdr:cNvPr id="1961" name="図 1960">
          <a:extLst>
            <a:ext uri="{FF2B5EF4-FFF2-40B4-BE49-F238E27FC236}">
              <a16:creationId xmlns:a16="http://schemas.microsoft.com/office/drawing/2014/main" id="{935B690B-28C6-EBD6-4ADA-57D8B215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2235201" y="23876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48</xdr:row>
      <xdr:rowOff>0</xdr:rowOff>
    </xdr:from>
    <xdr:to>
      <xdr:col>2</xdr:col>
      <xdr:colOff>758614</xdr:colOff>
      <xdr:row>49</xdr:row>
      <xdr:rowOff>0</xdr:rowOff>
    </xdr:to>
    <xdr:pic>
      <xdr:nvPicPr>
        <xdr:cNvPr id="1963" name="図 1962">
          <a:extLst>
            <a:ext uri="{FF2B5EF4-FFF2-40B4-BE49-F238E27FC236}">
              <a16:creationId xmlns:a16="http://schemas.microsoft.com/office/drawing/2014/main" id="{2B98F3F7-9137-0375-38F9-9255AECA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2235201" y="24384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49</xdr:row>
      <xdr:rowOff>0</xdr:rowOff>
    </xdr:from>
    <xdr:to>
      <xdr:col>2</xdr:col>
      <xdr:colOff>758614</xdr:colOff>
      <xdr:row>50</xdr:row>
      <xdr:rowOff>0</xdr:rowOff>
    </xdr:to>
    <xdr:pic>
      <xdr:nvPicPr>
        <xdr:cNvPr id="1965" name="図 1964">
          <a:extLst>
            <a:ext uri="{FF2B5EF4-FFF2-40B4-BE49-F238E27FC236}">
              <a16:creationId xmlns:a16="http://schemas.microsoft.com/office/drawing/2014/main" id="{312A17C1-46E3-6871-D08B-9770949EE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2235201" y="24892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50</xdr:row>
      <xdr:rowOff>0</xdr:rowOff>
    </xdr:from>
    <xdr:to>
      <xdr:col>2</xdr:col>
      <xdr:colOff>758614</xdr:colOff>
      <xdr:row>51</xdr:row>
      <xdr:rowOff>0</xdr:rowOff>
    </xdr:to>
    <xdr:pic>
      <xdr:nvPicPr>
        <xdr:cNvPr id="1967" name="図 1966">
          <a:extLst>
            <a:ext uri="{FF2B5EF4-FFF2-40B4-BE49-F238E27FC236}">
              <a16:creationId xmlns:a16="http://schemas.microsoft.com/office/drawing/2014/main" id="{BB951BB1-AC59-2C4E-8804-FD3A4FC4F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235201" y="25400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51</xdr:row>
      <xdr:rowOff>0</xdr:rowOff>
    </xdr:from>
    <xdr:to>
      <xdr:col>2</xdr:col>
      <xdr:colOff>758614</xdr:colOff>
      <xdr:row>52</xdr:row>
      <xdr:rowOff>0</xdr:rowOff>
    </xdr:to>
    <xdr:pic>
      <xdr:nvPicPr>
        <xdr:cNvPr id="1969" name="図 1968">
          <a:extLst>
            <a:ext uri="{FF2B5EF4-FFF2-40B4-BE49-F238E27FC236}">
              <a16:creationId xmlns:a16="http://schemas.microsoft.com/office/drawing/2014/main" id="{334EB634-E361-4CCD-0C47-01BA6359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2235201" y="2590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52</xdr:row>
      <xdr:rowOff>0</xdr:rowOff>
    </xdr:from>
    <xdr:to>
      <xdr:col>2</xdr:col>
      <xdr:colOff>758614</xdr:colOff>
      <xdr:row>53</xdr:row>
      <xdr:rowOff>0</xdr:rowOff>
    </xdr:to>
    <xdr:pic>
      <xdr:nvPicPr>
        <xdr:cNvPr id="1971" name="図 1970">
          <a:extLst>
            <a:ext uri="{FF2B5EF4-FFF2-40B4-BE49-F238E27FC236}">
              <a16:creationId xmlns:a16="http://schemas.microsoft.com/office/drawing/2014/main" id="{F324127B-5808-9EC7-161F-3311277F9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2235201" y="26416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53</xdr:row>
      <xdr:rowOff>0</xdr:rowOff>
    </xdr:from>
    <xdr:to>
      <xdr:col>2</xdr:col>
      <xdr:colOff>758614</xdr:colOff>
      <xdr:row>54</xdr:row>
      <xdr:rowOff>0</xdr:rowOff>
    </xdr:to>
    <xdr:pic>
      <xdr:nvPicPr>
        <xdr:cNvPr id="1973" name="図 1972">
          <a:extLst>
            <a:ext uri="{FF2B5EF4-FFF2-40B4-BE49-F238E27FC236}">
              <a16:creationId xmlns:a16="http://schemas.microsoft.com/office/drawing/2014/main" id="{F69ADCC3-AF28-C986-2318-2E74AB9B9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2235201" y="26924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54</xdr:row>
      <xdr:rowOff>0</xdr:rowOff>
    </xdr:from>
    <xdr:to>
      <xdr:col>2</xdr:col>
      <xdr:colOff>758614</xdr:colOff>
      <xdr:row>55</xdr:row>
      <xdr:rowOff>0</xdr:rowOff>
    </xdr:to>
    <xdr:pic>
      <xdr:nvPicPr>
        <xdr:cNvPr id="1975" name="図 1974">
          <a:extLst>
            <a:ext uri="{FF2B5EF4-FFF2-40B4-BE49-F238E27FC236}">
              <a16:creationId xmlns:a16="http://schemas.microsoft.com/office/drawing/2014/main" id="{4DD880A2-5857-FF78-C79E-AAD260414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2235201" y="27432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55</xdr:row>
      <xdr:rowOff>0</xdr:rowOff>
    </xdr:from>
    <xdr:to>
      <xdr:col>2</xdr:col>
      <xdr:colOff>758614</xdr:colOff>
      <xdr:row>56</xdr:row>
      <xdr:rowOff>0</xdr:rowOff>
    </xdr:to>
    <xdr:pic>
      <xdr:nvPicPr>
        <xdr:cNvPr id="1977" name="図 1976">
          <a:extLst>
            <a:ext uri="{FF2B5EF4-FFF2-40B4-BE49-F238E27FC236}">
              <a16:creationId xmlns:a16="http://schemas.microsoft.com/office/drawing/2014/main" id="{30FB2F89-E4D6-1D02-E29F-535243158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2235201" y="27940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56</xdr:row>
      <xdr:rowOff>0</xdr:rowOff>
    </xdr:from>
    <xdr:to>
      <xdr:col>2</xdr:col>
      <xdr:colOff>758614</xdr:colOff>
      <xdr:row>57</xdr:row>
      <xdr:rowOff>0</xdr:rowOff>
    </xdr:to>
    <xdr:pic>
      <xdr:nvPicPr>
        <xdr:cNvPr id="1979" name="図 1978">
          <a:extLst>
            <a:ext uri="{FF2B5EF4-FFF2-40B4-BE49-F238E27FC236}">
              <a16:creationId xmlns:a16="http://schemas.microsoft.com/office/drawing/2014/main" id="{5917338F-5DFA-A4F9-154B-7ED9D04AE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2235201" y="2844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57</xdr:row>
      <xdr:rowOff>0</xdr:rowOff>
    </xdr:from>
    <xdr:to>
      <xdr:col>2</xdr:col>
      <xdr:colOff>758614</xdr:colOff>
      <xdr:row>58</xdr:row>
      <xdr:rowOff>0</xdr:rowOff>
    </xdr:to>
    <xdr:pic>
      <xdr:nvPicPr>
        <xdr:cNvPr id="1981" name="図 1980">
          <a:extLst>
            <a:ext uri="{FF2B5EF4-FFF2-40B4-BE49-F238E27FC236}">
              <a16:creationId xmlns:a16="http://schemas.microsoft.com/office/drawing/2014/main" id="{887B560C-FD26-631B-6BF3-CDD287445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2235201" y="28956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58</xdr:row>
      <xdr:rowOff>0</xdr:rowOff>
    </xdr:from>
    <xdr:to>
      <xdr:col>2</xdr:col>
      <xdr:colOff>758614</xdr:colOff>
      <xdr:row>59</xdr:row>
      <xdr:rowOff>0</xdr:rowOff>
    </xdr:to>
    <xdr:pic>
      <xdr:nvPicPr>
        <xdr:cNvPr id="1983" name="図 1982">
          <a:extLst>
            <a:ext uri="{FF2B5EF4-FFF2-40B4-BE49-F238E27FC236}">
              <a16:creationId xmlns:a16="http://schemas.microsoft.com/office/drawing/2014/main" id="{27D9A6F6-476F-93A1-DA80-19FE84AAC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2235201" y="29464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59</xdr:row>
      <xdr:rowOff>0</xdr:rowOff>
    </xdr:from>
    <xdr:to>
      <xdr:col>2</xdr:col>
      <xdr:colOff>758614</xdr:colOff>
      <xdr:row>60</xdr:row>
      <xdr:rowOff>0</xdr:rowOff>
    </xdr:to>
    <xdr:pic>
      <xdr:nvPicPr>
        <xdr:cNvPr id="1985" name="図 1984">
          <a:extLst>
            <a:ext uri="{FF2B5EF4-FFF2-40B4-BE49-F238E27FC236}">
              <a16:creationId xmlns:a16="http://schemas.microsoft.com/office/drawing/2014/main" id="{6300F3A3-7E78-383E-05B1-968D7669B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2235201" y="29972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60</xdr:row>
      <xdr:rowOff>0</xdr:rowOff>
    </xdr:from>
    <xdr:to>
      <xdr:col>2</xdr:col>
      <xdr:colOff>758614</xdr:colOff>
      <xdr:row>61</xdr:row>
      <xdr:rowOff>0</xdr:rowOff>
    </xdr:to>
    <xdr:pic>
      <xdr:nvPicPr>
        <xdr:cNvPr id="1987" name="図 1986">
          <a:extLst>
            <a:ext uri="{FF2B5EF4-FFF2-40B4-BE49-F238E27FC236}">
              <a16:creationId xmlns:a16="http://schemas.microsoft.com/office/drawing/2014/main" id="{49CE5CD5-1813-9859-3365-58C87859D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2235201" y="30480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61</xdr:row>
      <xdr:rowOff>0</xdr:rowOff>
    </xdr:from>
    <xdr:to>
      <xdr:col>2</xdr:col>
      <xdr:colOff>758614</xdr:colOff>
      <xdr:row>62</xdr:row>
      <xdr:rowOff>0</xdr:rowOff>
    </xdr:to>
    <xdr:pic>
      <xdr:nvPicPr>
        <xdr:cNvPr id="1989" name="図 1988">
          <a:extLst>
            <a:ext uri="{FF2B5EF4-FFF2-40B4-BE49-F238E27FC236}">
              <a16:creationId xmlns:a16="http://schemas.microsoft.com/office/drawing/2014/main" id="{93EB43DB-AB8A-0A14-36A0-6D946572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2235201" y="3098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62</xdr:row>
      <xdr:rowOff>0</xdr:rowOff>
    </xdr:from>
    <xdr:to>
      <xdr:col>2</xdr:col>
      <xdr:colOff>758614</xdr:colOff>
      <xdr:row>63</xdr:row>
      <xdr:rowOff>0</xdr:rowOff>
    </xdr:to>
    <xdr:pic>
      <xdr:nvPicPr>
        <xdr:cNvPr id="1991" name="図 1990">
          <a:extLst>
            <a:ext uri="{FF2B5EF4-FFF2-40B4-BE49-F238E27FC236}">
              <a16:creationId xmlns:a16="http://schemas.microsoft.com/office/drawing/2014/main" id="{5D8438B4-507A-DEC9-E8B7-42096C868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2235201" y="31496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63</xdr:row>
      <xdr:rowOff>0</xdr:rowOff>
    </xdr:from>
    <xdr:to>
      <xdr:col>2</xdr:col>
      <xdr:colOff>758614</xdr:colOff>
      <xdr:row>64</xdr:row>
      <xdr:rowOff>0</xdr:rowOff>
    </xdr:to>
    <xdr:pic>
      <xdr:nvPicPr>
        <xdr:cNvPr id="1993" name="図 1992">
          <a:extLst>
            <a:ext uri="{FF2B5EF4-FFF2-40B4-BE49-F238E27FC236}">
              <a16:creationId xmlns:a16="http://schemas.microsoft.com/office/drawing/2014/main" id="{D219229C-A606-B169-AB14-159527364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2235201" y="32004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64</xdr:row>
      <xdr:rowOff>0</xdr:rowOff>
    </xdr:from>
    <xdr:to>
      <xdr:col>2</xdr:col>
      <xdr:colOff>758614</xdr:colOff>
      <xdr:row>65</xdr:row>
      <xdr:rowOff>0</xdr:rowOff>
    </xdr:to>
    <xdr:pic>
      <xdr:nvPicPr>
        <xdr:cNvPr id="1995" name="図 1994">
          <a:extLst>
            <a:ext uri="{FF2B5EF4-FFF2-40B4-BE49-F238E27FC236}">
              <a16:creationId xmlns:a16="http://schemas.microsoft.com/office/drawing/2014/main" id="{6D57E686-41BF-C767-180C-6EE7067CE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2235201" y="32512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65</xdr:row>
      <xdr:rowOff>0</xdr:rowOff>
    </xdr:from>
    <xdr:to>
      <xdr:col>2</xdr:col>
      <xdr:colOff>758614</xdr:colOff>
      <xdr:row>66</xdr:row>
      <xdr:rowOff>0</xdr:rowOff>
    </xdr:to>
    <xdr:pic>
      <xdr:nvPicPr>
        <xdr:cNvPr id="1997" name="図 1996">
          <a:extLst>
            <a:ext uri="{FF2B5EF4-FFF2-40B4-BE49-F238E27FC236}">
              <a16:creationId xmlns:a16="http://schemas.microsoft.com/office/drawing/2014/main" id="{5C64F68F-87AB-A204-6AE2-D22AEB4A1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2235201" y="33020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66</xdr:row>
      <xdr:rowOff>0</xdr:rowOff>
    </xdr:from>
    <xdr:to>
      <xdr:col>2</xdr:col>
      <xdr:colOff>758614</xdr:colOff>
      <xdr:row>67</xdr:row>
      <xdr:rowOff>0</xdr:rowOff>
    </xdr:to>
    <xdr:pic>
      <xdr:nvPicPr>
        <xdr:cNvPr id="1999" name="図 1998">
          <a:extLst>
            <a:ext uri="{FF2B5EF4-FFF2-40B4-BE49-F238E27FC236}">
              <a16:creationId xmlns:a16="http://schemas.microsoft.com/office/drawing/2014/main" id="{B11A0647-0CD7-E7FA-A58A-E49DF5512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2235201" y="3352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67</xdr:row>
      <xdr:rowOff>0</xdr:rowOff>
    </xdr:from>
    <xdr:to>
      <xdr:col>2</xdr:col>
      <xdr:colOff>758614</xdr:colOff>
      <xdr:row>68</xdr:row>
      <xdr:rowOff>0</xdr:rowOff>
    </xdr:to>
    <xdr:pic>
      <xdr:nvPicPr>
        <xdr:cNvPr id="2001" name="図 2000">
          <a:extLst>
            <a:ext uri="{FF2B5EF4-FFF2-40B4-BE49-F238E27FC236}">
              <a16:creationId xmlns:a16="http://schemas.microsoft.com/office/drawing/2014/main" id="{667DEA72-FFDC-D9D8-F6B8-87A6EE807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2235201" y="34036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68</xdr:row>
      <xdr:rowOff>0</xdr:rowOff>
    </xdr:from>
    <xdr:to>
      <xdr:col>2</xdr:col>
      <xdr:colOff>758614</xdr:colOff>
      <xdr:row>69</xdr:row>
      <xdr:rowOff>0</xdr:rowOff>
    </xdr:to>
    <xdr:pic>
      <xdr:nvPicPr>
        <xdr:cNvPr id="2003" name="図 2002">
          <a:extLst>
            <a:ext uri="{FF2B5EF4-FFF2-40B4-BE49-F238E27FC236}">
              <a16:creationId xmlns:a16="http://schemas.microsoft.com/office/drawing/2014/main" id="{4045681E-875E-B227-54E7-358C710FC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2235201" y="34544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69</xdr:row>
      <xdr:rowOff>0</xdr:rowOff>
    </xdr:from>
    <xdr:to>
      <xdr:col>2</xdr:col>
      <xdr:colOff>758614</xdr:colOff>
      <xdr:row>70</xdr:row>
      <xdr:rowOff>0</xdr:rowOff>
    </xdr:to>
    <xdr:pic>
      <xdr:nvPicPr>
        <xdr:cNvPr id="2005" name="図 2004">
          <a:extLst>
            <a:ext uri="{FF2B5EF4-FFF2-40B4-BE49-F238E27FC236}">
              <a16:creationId xmlns:a16="http://schemas.microsoft.com/office/drawing/2014/main" id="{FB1C60DD-16B3-D91D-7A86-9EF7B5EE2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2235201" y="35052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70</xdr:row>
      <xdr:rowOff>0</xdr:rowOff>
    </xdr:from>
    <xdr:to>
      <xdr:col>2</xdr:col>
      <xdr:colOff>758614</xdr:colOff>
      <xdr:row>71</xdr:row>
      <xdr:rowOff>0</xdr:rowOff>
    </xdr:to>
    <xdr:pic>
      <xdr:nvPicPr>
        <xdr:cNvPr id="2007" name="図 2006">
          <a:extLst>
            <a:ext uri="{FF2B5EF4-FFF2-40B4-BE49-F238E27FC236}">
              <a16:creationId xmlns:a16="http://schemas.microsoft.com/office/drawing/2014/main" id="{D1338D31-09B2-855D-EC5B-3ABE21908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2235201" y="35560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71</xdr:row>
      <xdr:rowOff>0</xdr:rowOff>
    </xdr:from>
    <xdr:to>
      <xdr:col>2</xdr:col>
      <xdr:colOff>758614</xdr:colOff>
      <xdr:row>72</xdr:row>
      <xdr:rowOff>0</xdr:rowOff>
    </xdr:to>
    <xdr:pic>
      <xdr:nvPicPr>
        <xdr:cNvPr id="2009" name="図 2008">
          <a:extLst>
            <a:ext uri="{FF2B5EF4-FFF2-40B4-BE49-F238E27FC236}">
              <a16:creationId xmlns:a16="http://schemas.microsoft.com/office/drawing/2014/main" id="{0DE3D504-1413-D778-73F6-0FB38BF42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2235201" y="36068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72</xdr:row>
      <xdr:rowOff>0</xdr:rowOff>
    </xdr:from>
    <xdr:to>
      <xdr:col>2</xdr:col>
      <xdr:colOff>758614</xdr:colOff>
      <xdr:row>73</xdr:row>
      <xdr:rowOff>0</xdr:rowOff>
    </xdr:to>
    <xdr:pic>
      <xdr:nvPicPr>
        <xdr:cNvPr id="2011" name="図 2010">
          <a:extLst>
            <a:ext uri="{FF2B5EF4-FFF2-40B4-BE49-F238E27FC236}">
              <a16:creationId xmlns:a16="http://schemas.microsoft.com/office/drawing/2014/main" id="{69EBBC1B-3EBF-2464-D113-ADE74BAB3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2235201" y="36576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73</xdr:row>
      <xdr:rowOff>0</xdr:rowOff>
    </xdr:from>
    <xdr:to>
      <xdr:col>2</xdr:col>
      <xdr:colOff>758614</xdr:colOff>
      <xdr:row>74</xdr:row>
      <xdr:rowOff>0</xdr:rowOff>
    </xdr:to>
    <xdr:pic>
      <xdr:nvPicPr>
        <xdr:cNvPr id="2013" name="図 2012">
          <a:extLst>
            <a:ext uri="{FF2B5EF4-FFF2-40B4-BE49-F238E27FC236}">
              <a16:creationId xmlns:a16="http://schemas.microsoft.com/office/drawing/2014/main" id="{5A9054D1-7A19-662F-A5C9-2E17D4F9C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2235201" y="37084000"/>
          <a:ext cx="758613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74</xdr:row>
      <xdr:rowOff>0</xdr:rowOff>
    </xdr:from>
    <xdr:to>
      <xdr:col>2</xdr:col>
      <xdr:colOff>758614</xdr:colOff>
      <xdr:row>75</xdr:row>
      <xdr:rowOff>0</xdr:rowOff>
    </xdr:to>
    <xdr:pic>
      <xdr:nvPicPr>
        <xdr:cNvPr id="2015" name="図 2014">
          <a:extLst>
            <a:ext uri="{FF2B5EF4-FFF2-40B4-BE49-F238E27FC236}">
              <a16:creationId xmlns:a16="http://schemas.microsoft.com/office/drawing/2014/main" id="{3F7A183C-2739-5B7C-631F-0365A73D3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2235201" y="37592000"/>
          <a:ext cx="758613" cy="50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I1000"/>
  <sheetViews>
    <sheetView zoomScale="104" zoomScaleNormal="104" workbookViewId="0">
      <selection activeCell="L17" sqref="L17"/>
    </sheetView>
  </sheetViews>
  <sheetFormatPr defaultColWidth="12.54296875" defaultRowHeight="15.75" customHeight="1" x14ac:dyDescent="0.25"/>
  <cols>
    <col min="1" max="6" width="17.7265625" customWidth="1"/>
  </cols>
  <sheetData>
    <row r="1" spans="1:9" ht="14.15" customHeight="1" x14ac:dyDescent="0.25">
      <c r="A1" s="31"/>
      <c r="B1" s="32"/>
      <c r="C1" s="32"/>
      <c r="D1" s="32"/>
      <c r="E1" s="32"/>
      <c r="F1" s="32"/>
      <c r="G1" s="22"/>
      <c r="H1" s="22"/>
      <c r="I1" s="22"/>
    </row>
    <row r="2" spans="1:9" ht="14.15" customHeight="1" x14ac:dyDescent="0.25">
      <c r="A2" s="32"/>
      <c r="B2" s="32"/>
      <c r="C2" s="32"/>
      <c r="D2" s="32"/>
      <c r="E2" s="32"/>
      <c r="F2" s="32"/>
      <c r="G2" s="22"/>
      <c r="H2" s="22"/>
      <c r="I2" s="22"/>
    </row>
    <row r="3" spans="1:9" ht="14.15" customHeight="1" x14ac:dyDescent="0.25">
      <c r="A3" s="32"/>
      <c r="B3" s="32"/>
      <c r="C3" s="32"/>
      <c r="D3" s="32"/>
      <c r="E3" s="32"/>
      <c r="F3" s="32"/>
      <c r="G3" s="22"/>
      <c r="H3" s="22"/>
      <c r="I3" s="22"/>
    </row>
    <row r="4" spans="1:9" ht="14.15" customHeight="1" x14ac:dyDescent="0.25">
      <c r="A4" s="32"/>
      <c r="B4" s="32"/>
      <c r="C4" s="32"/>
      <c r="D4" s="32"/>
      <c r="E4" s="32"/>
      <c r="F4" s="32"/>
      <c r="G4" s="22"/>
      <c r="H4" s="22"/>
      <c r="I4" s="23"/>
    </row>
    <row r="5" spans="1:9" ht="14.15" customHeight="1" x14ac:dyDescent="0.25">
      <c r="A5" s="32"/>
      <c r="B5" s="32"/>
      <c r="C5" s="32"/>
      <c r="D5" s="32"/>
      <c r="E5" s="32"/>
      <c r="F5" s="32"/>
      <c r="G5" s="22"/>
      <c r="H5" s="22"/>
      <c r="I5" s="23"/>
    </row>
    <row r="6" spans="1:9" ht="14.15" customHeight="1" x14ac:dyDescent="0.25">
      <c r="A6" s="32"/>
      <c r="B6" s="32"/>
      <c r="C6" s="32"/>
      <c r="D6" s="32"/>
      <c r="E6" s="32"/>
      <c r="F6" s="32"/>
      <c r="G6" s="22"/>
      <c r="H6" s="22"/>
      <c r="I6" s="23"/>
    </row>
    <row r="7" spans="1:9" ht="14.15" customHeight="1" x14ac:dyDescent="0.25">
      <c r="A7" s="32"/>
      <c r="B7" s="32"/>
      <c r="C7" s="32"/>
      <c r="D7" s="32"/>
      <c r="E7" s="32"/>
      <c r="F7" s="32"/>
      <c r="G7" s="22"/>
      <c r="H7" s="22"/>
      <c r="I7" s="22"/>
    </row>
    <row r="8" spans="1:9" ht="14.15" customHeight="1" x14ac:dyDescent="0.25">
      <c r="A8" s="32"/>
      <c r="B8" s="32"/>
      <c r="C8" s="32"/>
      <c r="D8" s="32"/>
      <c r="E8" s="32"/>
      <c r="F8" s="32"/>
      <c r="G8" s="22"/>
      <c r="H8" s="22"/>
      <c r="I8" s="22"/>
    </row>
    <row r="9" spans="1:9" ht="14.15" customHeight="1" x14ac:dyDescent="0.25">
      <c r="A9" s="32"/>
      <c r="B9" s="32"/>
      <c r="C9" s="32"/>
      <c r="D9" s="32"/>
      <c r="E9" s="32"/>
      <c r="F9" s="32"/>
      <c r="G9" s="22"/>
      <c r="H9" s="22"/>
      <c r="I9" s="22"/>
    </row>
    <row r="10" spans="1:9" ht="14.15" customHeight="1" x14ac:dyDescent="0.25">
      <c r="A10" s="32"/>
      <c r="B10" s="32"/>
      <c r="C10" s="32"/>
      <c r="D10" s="32"/>
      <c r="E10" s="32"/>
      <c r="F10" s="32"/>
      <c r="G10" s="22"/>
      <c r="H10" s="22"/>
      <c r="I10" s="22"/>
    </row>
    <row r="11" spans="1:9" ht="14.15" customHeight="1" x14ac:dyDescent="0.25">
      <c r="A11" s="32"/>
      <c r="B11" s="32"/>
      <c r="C11" s="32"/>
      <c r="D11" s="32"/>
      <c r="E11" s="32"/>
      <c r="F11" s="32"/>
      <c r="G11" s="22"/>
      <c r="H11" s="22"/>
      <c r="I11" s="22"/>
    </row>
    <row r="12" spans="1:9" ht="14.15" customHeight="1" x14ac:dyDescent="0.25">
      <c r="A12" s="32"/>
      <c r="B12" s="32"/>
      <c r="C12" s="32"/>
      <c r="D12" s="32"/>
      <c r="E12" s="32"/>
      <c r="F12" s="32"/>
      <c r="G12" s="22"/>
      <c r="H12" s="22"/>
      <c r="I12" s="22"/>
    </row>
    <row r="13" spans="1:9" ht="14.15" customHeight="1" x14ac:dyDescent="0.25">
      <c r="A13" s="32"/>
      <c r="B13" s="32"/>
      <c r="C13" s="32"/>
      <c r="D13" s="32"/>
      <c r="E13" s="32"/>
      <c r="F13" s="32"/>
      <c r="G13" s="22"/>
      <c r="H13" s="22"/>
      <c r="I13" s="22"/>
    </row>
    <row r="14" spans="1:9" ht="14.15" customHeight="1" x14ac:dyDescent="0.25">
      <c r="A14" s="32"/>
      <c r="B14" s="32"/>
      <c r="C14" s="32"/>
      <c r="D14" s="32"/>
      <c r="E14" s="32"/>
      <c r="F14" s="32"/>
      <c r="G14" s="22"/>
      <c r="H14" s="22"/>
      <c r="I14" s="22"/>
    </row>
    <row r="15" spans="1:9" ht="14.15" customHeight="1" x14ac:dyDescent="0.25">
      <c r="A15" s="32"/>
      <c r="B15" s="32"/>
      <c r="C15" s="32"/>
      <c r="D15" s="32"/>
      <c r="E15" s="32"/>
      <c r="F15" s="32"/>
      <c r="G15" s="22"/>
      <c r="H15" s="22"/>
      <c r="I15" s="22"/>
    </row>
    <row r="16" spans="1:9" ht="14.15" customHeight="1" x14ac:dyDescent="0.25">
      <c r="A16" s="32"/>
      <c r="B16" s="32"/>
      <c r="C16" s="32"/>
      <c r="D16" s="32"/>
      <c r="E16" s="32"/>
      <c r="F16" s="32"/>
      <c r="G16" s="22"/>
      <c r="H16" s="22"/>
      <c r="I16" s="22"/>
    </row>
    <row r="17" spans="1:9" ht="14.15" customHeight="1" x14ac:dyDescent="0.25">
      <c r="A17" s="32"/>
      <c r="B17" s="32"/>
      <c r="C17" s="32"/>
      <c r="D17" s="32"/>
      <c r="E17" s="32"/>
      <c r="F17" s="32"/>
      <c r="G17" s="22"/>
      <c r="H17" s="22"/>
      <c r="I17" s="22"/>
    </row>
    <row r="18" spans="1:9" ht="14.15" customHeight="1" x14ac:dyDescent="0.25">
      <c r="A18" s="32"/>
      <c r="B18" s="32"/>
      <c r="C18" s="32"/>
      <c r="D18" s="32"/>
      <c r="E18" s="32"/>
      <c r="F18" s="32"/>
      <c r="G18" s="22"/>
      <c r="H18" s="22"/>
      <c r="I18" s="22"/>
    </row>
    <row r="19" spans="1:9" ht="14.15" customHeight="1" x14ac:dyDescent="0.25">
      <c r="A19" s="32"/>
      <c r="B19" s="32"/>
      <c r="C19" s="32"/>
      <c r="D19" s="32"/>
      <c r="E19" s="32"/>
      <c r="F19" s="32"/>
      <c r="G19" s="22"/>
      <c r="H19" s="22"/>
      <c r="I19" s="22"/>
    </row>
    <row r="20" spans="1:9" ht="14.15" customHeight="1" x14ac:dyDescent="0.25">
      <c r="A20" s="32"/>
      <c r="B20" s="32"/>
      <c r="C20" s="32"/>
      <c r="D20" s="32"/>
      <c r="E20" s="32"/>
      <c r="F20" s="32"/>
      <c r="G20" s="22"/>
      <c r="H20" s="22"/>
      <c r="I20" s="22"/>
    </row>
    <row r="21" spans="1:9" ht="14.15" customHeight="1" x14ac:dyDescent="0.25">
      <c r="A21" s="32"/>
      <c r="B21" s="32"/>
      <c r="C21" s="32"/>
      <c r="D21" s="32"/>
      <c r="E21" s="32"/>
      <c r="F21" s="32"/>
      <c r="G21" s="22"/>
      <c r="H21" s="22"/>
      <c r="I21" s="22"/>
    </row>
    <row r="22" spans="1:9" ht="14.15" customHeight="1" x14ac:dyDescent="0.25">
      <c r="A22" s="32"/>
      <c r="B22" s="32"/>
      <c r="C22" s="32"/>
      <c r="D22" s="32"/>
      <c r="E22" s="32"/>
      <c r="F22" s="32"/>
      <c r="G22" s="22"/>
      <c r="H22" s="22"/>
      <c r="I22" s="22"/>
    </row>
    <row r="23" spans="1:9" ht="14.15" customHeight="1" x14ac:dyDescent="0.25">
      <c r="A23" s="32"/>
      <c r="B23" s="32"/>
      <c r="C23" s="32"/>
      <c r="D23" s="32"/>
      <c r="E23" s="32"/>
      <c r="F23" s="32"/>
      <c r="G23" s="22"/>
      <c r="H23" s="22"/>
      <c r="I23" s="22"/>
    </row>
    <row r="24" spans="1:9" ht="14.15" customHeight="1" x14ac:dyDescent="0.25">
      <c r="A24" s="32"/>
      <c r="B24" s="32"/>
      <c r="C24" s="32"/>
      <c r="D24" s="32"/>
      <c r="E24" s="32"/>
      <c r="F24" s="32"/>
      <c r="G24" s="22"/>
      <c r="H24" s="22"/>
      <c r="I24" s="22"/>
    </row>
    <row r="25" spans="1:9" ht="12.5" x14ac:dyDescent="0.25">
      <c r="A25" s="24"/>
      <c r="B25" s="24"/>
      <c r="C25" s="25"/>
      <c r="D25" s="26"/>
      <c r="E25" s="27"/>
      <c r="F25" s="27"/>
      <c r="G25" s="22"/>
      <c r="H25" s="22"/>
      <c r="I25" s="22"/>
    </row>
    <row r="26" spans="1:9" ht="40" customHeight="1" x14ac:dyDescent="0.25">
      <c r="A26" s="27"/>
      <c r="B26" s="28"/>
      <c r="C26" s="27"/>
      <c r="D26" s="29">
        <v>0</v>
      </c>
      <c r="E26" s="30" t="s">
        <v>160</v>
      </c>
      <c r="F26" s="27"/>
      <c r="G26" s="22"/>
      <c r="H26" s="22"/>
      <c r="I26" s="22"/>
    </row>
    <row r="27" spans="1:9" ht="12.5" x14ac:dyDescent="0.25">
      <c r="A27" s="27"/>
      <c r="B27" s="27"/>
      <c r="C27" s="27"/>
      <c r="D27" s="27"/>
      <c r="E27" s="27"/>
      <c r="F27" s="27"/>
      <c r="G27" s="22"/>
      <c r="H27" s="22"/>
      <c r="I27" s="22"/>
    </row>
    <row r="28" spans="1:9" ht="12.5" x14ac:dyDescent="0.25">
      <c r="A28" s="27"/>
      <c r="B28" s="28"/>
      <c r="C28" s="27"/>
      <c r="D28" s="27"/>
      <c r="E28" s="27"/>
      <c r="F28" s="27"/>
      <c r="G28" s="22"/>
      <c r="H28" s="22"/>
      <c r="I28" s="22"/>
    </row>
    <row r="29" spans="1:9" ht="12.5" x14ac:dyDescent="0.25">
      <c r="A29" s="27"/>
      <c r="B29" s="27"/>
      <c r="C29" s="27"/>
      <c r="D29" s="27"/>
      <c r="E29" s="27"/>
      <c r="F29" s="27"/>
      <c r="G29" s="22"/>
      <c r="H29" s="22"/>
      <c r="I29" s="22"/>
    </row>
    <row r="30" spans="1:9" ht="40" customHeight="1" x14ac:dyDescent="0.25">
      <c r="A30" s="27"/>
      <c r="B30" s="27"/>
      <c r="C30" s="27"/>
      <c r="D30" s="33"/>
      <c r="E30" s="34"/>
      <c r="F30" s="27"/>
      <c r="G30" s="22"/>
      <c r="H30" s="22"/>
      <c r="I30" s="22"/>
    </row>
    <row r="31" spans="1:9" ht="12.5" x14ac:dyDescent="0.25">
      <c r="A31" s="27"/>
      <c r="B31" s="27"/>
      <c r="C31" s="28"/>
      <c r="D31" s="27"/>
      <c r="E31" s="27"/>
      <c r="F31" s="27"/>
      <c r="G31" s="22"/>
      <c r="H31" s="22"/>
      <c r="I31" s="22"/>
    </row>
    <row r="32" spans="1:9" ht="12.5" x14ac:dyDescent="0.25">
      <c r="A32" s="27"/>
      <c r="B32" s="27"/>
      <c r="C32" s="27"/>
      <c r="D32" s="27"/>
      <c r="E32" s="27"/>
      <c r="F32" s="27"/>
      <c r="G32" s="22"/>
      <c r="H32" s="22"/>
      <c r="I32" s="22"/>
    </row>
    <row r="33" spans="1:9" ht="12.5" x14ac:dyDescent="0.25">
      <c r="A33" s="27"/>
      <c r="B33" s="27"/>
      <c r="C33" s="27"/>
      <c r="D33" s="27"/>
      <c r="E33" s="27"/>
      <c r="F33" s="27"/>
      <c r="G33" s="22"/>
      <c r="H33" s="22"/>
      <c r="I33" s="22"/>
    </row>
    <row r="34" spans="1:9" ht="12.5" x14ac:dyDescent="0.25">
      <c r="A34" s="27"/>
      <c r="B34" s="27"/>
      <c r="C34" s="27"/>
      <c r="D34" s="27"/>
      <c r="E34" s="27"/>
      <c r="F34" s="27"/>
      <c r="G34" s="22"/>
      <c r="H34" s="22"/>
      <c r="I34" s="22"/>
    </row>
    <row r="35" spans="1:9" ht="12.5" x14ac:dyDescent="0.25">
      <c r="A35" s="27"/>
      <c r="B35" s="27"/>
      <c r="C35" s="27"/>
      <c r="D35" s="27"/>
      <c r="E35" s="27"/>
      <c r="F35" s="27"/>
      <c r="G35" s="22"/>
      <c r="H35" s="22"/>
      <c r="I35" s="22"/>
    </row>
    <row r="36" spans="1:9" ht="12.5" x14ac:dyDescent="0.25">
      <c r="A36" s="27"/>
      <c r="B36" s="27"/>
      <c r="C36" s="27"/>
      <c r="D36" s="27"/>
      <c r="E36" s="27"/>
      <c r="F36" s="27"/>
      <c r="G36" s="22"/>
      <c r="H36" s="22"/>
      <c r="I36" s="22"/>
    </row>
    <row r="37" spans="1:9" ht="12.5" x14ac:dyDescent="0.25">
      <c r="A37" s="27"/>
      <c r="B37" s="27"/>
      <c r="C37" s="27"/>
      <c r="D37" s="27"/>
      <c r="E37" s="27"/>
      <c r="F37" s="27"/>
      <c r="G37" s="22"/>
      <c r="H37" s="22"/>
      <c r="I37" s="22"/>
    </row>
    <row r="38" spans="1:9" ht="12.5" x14ac:dyDescent="0.25">
      <c r="A38" s="27"/>
      <c r="B38" s="28"/>
      <c r="C38" s="27"/>
      <c r="D38" s="27"/>
      <c r="E38" s="27"/>
      <c r="F38" s="27"/>
      <c r="G38" s="22"/>
      <c r="H38" s="22"/>
      <c r="I38" s="22"/>
    </row>
    <row r="39" spans="1:9" ht="12.5" x14ac:dyDescent="0.25">
      <c r="A39" s="27"/>
      <c r="B39" s="27"/>
      <c r="C39" s="27"/>
      <c r="D39" s="27"/>
      <c r="E39" s="27"/>
      <c r="F39" s="27"/>
      <c r="G39" s="22"/>
      <c r="H39" s="22"/>
      <c r="I39" s="22"/>
    </row>
    <row r="40" spans="1:9" ht="12.5" x14ac:dyDescent="0.25">
      <c r="A40" s="27"/>
      <c r="B40" s="27"/>
      <c r="C40" s="27"/>
      <c r="D40" s="27"/>
      <c r="E40" s="27"/>
      <c r="F40" s="27"/>
      <c r="G40" s="22"/>
      <c r="H40" s="22"/>
      <c r="I40" s="22"/>
    </row>
    <row r="41" spans="1:9" ht="12.5" x14ac:dyDescent="0.25">
      <c r="A41" s="27"/>
      <c r="B41" s="27"/>
      <c r="C41" s="27"/>
      <c r="D41" s="27"/>
      <c r="E41" s="27"/>
      <c r="F41" s="27"/>
      <c r="G41" s="22"/>
      <c r="H41" s="22"/>
      <c r="I41" s="22"/>
    </row>
    <row r="42" spans="1:9" ht="12.5" x14ac:dyDescent="0.25">
      <c r="A42" s="27"/>
      <c r="B42" s="27"/>
      <c r="C42" s="27"/>
      <c r="D42" s="27"/>
      <c r="E42" s="27"/>
      <c r="F42" s="27"/>
      <c r="G42" s="22"/>
      <c r="H42" s="22"/>
      <c r="I42" s="22"/>
    </row>
    <row r="43" spans="1:9" ht="12.5" x14ac:dyDescent="0.25">
      <c r="A43" s="27"/>
      <c r="B43" s="27"/>
      <c r="C43" s="27"/>
      <c r="D43" s="27"/>
      <c r="E43" s="27"/>
      <c r="F43" s="27"/>
      <c r="G43" s="22"/>
      <c r="H43" s="22"/>
      <c r="I43" s="22"/>
    </row>
    <row r="44" spans="1:9" ht="12.5" x14ac:dyDescent="0.25">
      <c r="A44" s="1"/>
      <c r="B44" s="1"/>
      <c r="C44" s="1"/>
      <c r="D44" s="1"/>
      <c r="E44" s="1"/>
      <c r="F44" s="1"/>
    </row>
    <row r="45" spans="1:9" ht="12.5" x14ac:dyDescent="0.25">
      <c r="A45" s="1"/>
      <c r="B45" s="1"/>
      <c r="C45" s="1"/>
      <c r="D45" s="1"/>
      <c r="E45" s="1"/>
      <c r="F45" s="1"/>
    </row>
    <row r="46" spans="1:9" ht="12.5" x14ac:dyDescent="0.25">
      <c r="A46" s="1"/>
      <c r="B46" s="1"/>
      <c r="C46" s="1"/>
      <c r="D46" s="1"/>
      <c r="E46" s="1"/>
      <c r="F46" s="1"/>
    </row>
    <row r="47" spans="1:9" ht="12.5" x14ac:dyDescent="0.25">
      <c r="A47" s="1"/>
      <c r="B47" s="1"/>
      <c r="C47" s="1"/>
      <c r="D47" s="1"/>
      <c r="E47" s="1"/>
      <c r="F47" s="1"/>
    </row>
    <row r="48" spans="1:9" ht="12.5" x14ac:dyDescent="0.25">
      <c r="A48" s="1"/>
      <c r="B48" s="1"/>
      <c r="C48" s="1"/>
      <c r="D48" s="1"/>
      <c r="E48" s="1"/>
      <c r="F48" s="1"/>
    </row>
    <row r="49" spans="1:6" ht="12.5" x14ac:dyDescent="0.25">
      <c r="A49" s="1"/>
      <c r="B49" s="1"/>
      <c r="C49" s="1"/>
      <c r="D49" s="1"/>
      <c r="E49" s="1"/>
      <c r="F49" s="1"/>
    </row>
    <row r="50" spans="1:6" ht="12.5" x14ac:dyDescent="0.25">
      <c r="A50" s="1"/>
      <c r="B50" s="1"/>
      <c r="C50" s="1"/>
      <c r="D50" s="1"/>
      <c r="E50" s="1"/>
      <c r="F50" s="1"/>
    </row>
    <row r="51" spans="1:6" ht="12.5" x14ac:dyDescent="0.25">
      <c r="A51" s="1"/>
      <c r="B51" s="1"/>
      <c r="C51" s="1"/>
      <c r="D51" s="1"/>
      <c r="E51" s="1"/>
      <c r="F51" s="1"/>
    </row>
    <row r="52" spans="1:6" ht="12.5" x14ac:dyDescent="0.25">
      <c r="A52" s="1"/>
      <c r="B52" s="1"/>
      <c r="C52" s="1"/>
      <c r="D52" s="1"/>
      <c r="E52" s="1"/>
      <c r="F52" s="1"/>
    </row>
    <row r="53" spans="1:6" ht="12.5" x14ac:dyDescent="0.25">
      <c r="A53" s="1"/>
      <c r="B53" s="1"/>
      <c r="C53" s="1"/>
      <c r="D53" s="1"/>
      <c r="E53" s="1"/>
      <c r="F53" s="1"/>
    </row>
    <row r="54" spans="1:6" ht="12.5" x14ac:dyDescent="0.25">
      <c r="A54" s="1"/>
      <c r="B54" s="1"/>
      <c r="C54" s="1"/>
      <c r="D54" s="1"/>
      <c r="E54" s="1"/>
      <c r="F54" s="1"/>
    </row>
    <row r="55" spans="1:6" ht="12.5" x14ac:dyDescent="0.25">
      <c r="A55" s="1"/>
      <c r="B55" s="1"/>
      <c r="C55" s="1"/>
      <c r="D55" s="1"/>
      <c r="E55" s="1"/>
      <c r="F55" s="1"/>
    </row>
    <row r="56" spans="1:6" ht="12.5" x14ac:dyDescent="0.25">
      <c r="A56" s="1"/>
      <c r="B56" s="1"/>
      <c r="C56" s="1"/>
      <c r="D56" s="1"/>
      <c r="E56" s="1"/>
      <c r="F56" s="1"/>
    </row>
    <row r="57" spans="1:6" ht="12.5" x14ac:dyDescent="0.25">
      <c r="A57" s="1"/>
      <c r="B57" s="1"/>
      <c r="C57" s="1"/>
      <c r="D57" s="1"/>
      <c r="E57" s="1"/>
      <c r="F57" s="1"/>
    </row>
    <row r="58" spans="1:6" ht="12.5" x14ac:dyDescent="0.25">
      <c r="A58" s="1"/>
      <c r="B58" s="1"/>
      <c r="C58" s="1"/>
      <c r="D58" s="1"/>
      <c r="E58" s="1"/>
      <c r="F58" s="1"/>
    </row>
    <row r="59" spans="1:6" ht="12.5" x14ac:dyDescent="0.25">
      <c r="A59" s="1"/>
      <c r="B59" s="1"/>
      <c r="C59" s="1"/>
      <c r="D59" s="1"/>
      <c r="E59" s="1"/>
      <c r="F59" s="1"/>
    </row>
    <row r="60" spans="1:6" ht="12.5" x14ac:dyDescent="0.25">
      <c r="A60" s="1"/>
      <c r="B60" s="1"/>
      <c r="C60" s="1"/>
      <c r="D60" s="1"/>
      <c r="E60" s="1"/>
      <c r="F60" s="1"/>
    </row>
    <row r="61" spans="1:6" ht="12.5" x14ac:dyDescent="0.25">
      <c r="A61" s="1"/>
      <c r="B61" s="1"/>
      <c r="C61" s="1"/>
      <c r="D61" s="1"/>
      <c r="E61" s="1"/>
      <c r="F61" s="1"/>
    </row>
    <row r="62" spans="1:6" ht="12.5" x14ac:dyDescent="0.25">
      <c r="A62" s="1"/>
      <c r="B62" s="1"/>
      <c r="C62" s="1"/>
      <c r="D62" s="1"/>
      <c r="E62" s="1"/>
      <c r="F62" s="1"/>
    </row>
    <row r="63" spans="1:6" ht="12.5" x14ac:dyDescent="0.25">
      <c r="A63" s="1"/>
      <c r="B63" s="1"/>
      <c r="C63" s="1"/>
      <c r="D63" s="1"/>
      <c r="E63" s="1"/>
      <c r="F63" s="1"/>
    </row>
    <row r="64" spans="1:6" ht="12.5" x14ac:dyDescent="0.25">
      <c r="A64" s="1"/>
      <c r="B64" s="1"/>
      <c r="C64" s="9"/>
      <c r="D64" s="1"/>
      <c r="E64" s="1"/>
      <c r="F64" s="1"/>
    </row>
    <row r="65" spans="1:7" ht="12.5" x14ac:dyDescent="0.25">
      <c r="A65" s="1"/>
      <c r="B65" s="1"/>
      <c r="C65" s="1"/>
      <c r="D65" s="1"/>
      <c r="E65" s="1"/>
      <c r="F65" s="1"/>
    </row>
    <row r="66" spans="1:7" ht="12.5" x14ac:dyDescent="0.25">
      <c r="A66" s="1"/>
      <c r="B66" s="1"/>
      <c r="C66" s="1"/>
      <c r="D66" s="1"/>
      <c r="E66" s="1"/>
      <c r="F66" s="1"/>
    </row>
    <row r="67" spans="1:7" ht="12.5" x14ac:dyDescent="0.25">
      <c r="A67" s="1"/>
      <c r="B67" s="1"/>
      <c r="C67" s="1"/>
      <c r="D67" s="1"/>
      <c r="E67" s="1"/>
      <c r="F67" s="1"/>
    </row>
    <row r="68" spans="1:7" ht="12.5" x14ac:dyDescent="0.25">
      <c r="A68" s="1"/>
      <c r="B68" s="1"/>
      <c r="C68" s="1"/>
      <c r="D68" s="1"/>
      <c r="E68" s="1"/>
      <c r="F68" s="1"/>
    </row>
    <row r="69" spans="1:7" ht="12.5" x14ac:dyDescent="0.25">
      <c r="A69" s="1"/>
      <c r="B69" s="1"/>
      <c r="C69" s="1"/>
      <c r="D69" s="1"/>
      <c r="E69" s="1"/>
      <c r="F69" s="1"/>
    </row>
    <row r="70" spans="1:7" ht="12.5" x14ac:dyDescent="0.25">
      <c r="A70" s="1"/>
      <c r="B70" s="1"/>
      <c r="C70" s="1"/>
      <c r="D70" s="1"/>
      <c r="E70" s="1"/>
      <c r="F70" s="1"/>
    </row>
    <row r="71" spans="1:7" ht="12.5" x14ac:dyDescent="0.25">
      <c r="A71" s="1"/>
      <c r="B71" s="1"/>
      <c r="C71" s="1"/>
      <c r="D71" s="1"/>
      <c r="E71" s="1"/>
      <c r="F71" s="1"/>
    </row>
    <row r="72" spans="1:7" ht="12.5" x14ac:dyDescent="0.25">
      <c r="A72" s="1"/>
      <c r="B72" s="1"/>
      <c r="C72" s="1"/>
      <c r="D72" s="1"/>
      <c r="E72" s="1"/>
      <c r="F72" s="1"/>
    </row>
    <row r="73" spans="1:7" ht="12.5" x14ac:dyDescent="0.25">
      <c r="A73" s="1"/>
      <c r="B73" s="1"/>
      <c r="C73" s="1"/>
      <c r="D73" s="1"/>
      <c r="E73" s="1"/>
      <c r="F73" s="1"/>
    </row>
    <row r="74" spans="1:7" ht="12.5" x14ac:dyDescent="0.25">
      <c r="A74" s="1"/>
      <c r="B74" s="1"/>
      <c r="C74" s="1"/>
      <c r="D74" s="1"/>
      <c r="E74" s="1"/>
      <c r="F74" s="1"/>
    </row>
    <row r="75" spans="1:7" ht="12.5" x14ac:dyDescent="0.25">
      <c r="A75" s="1"/>
      <c r="B75" s="1"/>
      <c r="C75" s="1"/>
      <c r="D75" s="1"/>
      <c r="E75" s="1"/>
      <c r="F75" s="1"/>
    </row>
    <row r="76" spans="1:7" ht="12.5" x14ac:dyDescent="0.25">
      <c r="A76" s="1"/>
      <c r="B76" s="1"/>
      <c r="C76" s="1"/>
      <c r="D76" s="1"/>
      <c r="E76" s="1"/>
      <c r="F76" s="1"/>
      <c r="G76" s="1"/>
    </row>
    <row r="77" spans="1:7" ht="12.5" x14ac:dyDescent="0.25">
      <c r="A77" s="1"/>
      <c r="B77" s="1"/>
      <c r="C77" s="1"/>
      <c r="D77" s="1"/>
      <c r="E77" s="1"/>
      <c r="F77" s="1"/>
      <c r="G77" s="1"/>
    </row>
    <row r="78" spans="1:7" ht="12.5" x14ac:dyDescent="0.25">
      <c r="A78" s="1"/>
      <c r="B78" s="1"/>
      <c r="C78" s="1"/>
      <c r="D78" s="1"/>
      <c r="E78" s="1"/>
      <c r="F78" s="1"/>
      <c r="G78" s="1"/>
    </row>
    <row r="79" spans="1:7" ht="12.5" x14ac:dyDescent="0.25">
      <c r="A79" s="1"/>
      <c r="B79" s="1"/>
      <c r="C79" s="1"/>
      <c r="D79" s="1"/>
      <c r="E79" s="1"/>
      <c r="F79" s="1"/>
      <c r="G79" s="1"/>
    </row>
    <row r="80" spans="1:7" ht="12.5" x14ac:dyDescent="0.25">
      <c r="A80" s="1"/>
      <c r="B80" s="1"/>
      <c r="C80" s="1"/>
      <c r="D80" s="1"/>
      <c r="E80" s="1"/>
      <c r="F80" s="1"/>
      <c r="G80" s="1"/>
    </row>
    <row r="81" spans="1:7" ht="12.5" x14ac:dyDescent="0.25">
      <c r="A81" s="1"/>
      <c r="B81" s="1"/>
      <c r="C81" s="1"/>
      <c r="D81" s="1"/>
      <c r="E81" s="1"/>
      <c r="F81" s="1"/>
      <c r="G81" s="1"/>
    </row>
    <row r="82" spans="1:7" ht="12.5" x14ac:dyDescent="0.25">
      <c r="A82" s="1"/>
      <c r="B82" s="1"/>
      <c r="C82" s="1"/>
      <c r="D82" s="1"/>
      <c r="E82" s="1"/>
      <c r="F82" s="1"/>
      <c r="G82" s="1"/>
    </row>
    <row r="83" spans="1:7" ht="12.5" x14ac:dyDescent="0.25">
      <c r="A83" s="1"/>
      <c r="B83" s="1"/>
      <c r="C83" s="1"/>
      <c r="D83" s="1"/>
      <c r="E83" s="1"/>
      <c r="F83" s="1"/>
      <c r="G83" s="1"/>
    </row>
    <row r="84" spans="1:7" ht="12.5" x14ac:dyDescent="0.25">
      <c r="A84" s="1"/>
      <c r="B84" s="1"/>
      <c r="C84" s="1"/>
      <c r="D84" s="1"/>
      <c r="E84" s="1"/>
      <c r="F84" s="1"/>
      <c r="G84" s="1"/>
    </row>
    <row r="85" spans="1:7" ht="12.5" x14ac:dyDescent="0.25">
      <c r="A85" s="1"/>
      <c r="B85" s="1"/>
      <c r="C85" s="1"/>
      <c r="D85" s="1"/>
      <c r="E85" s="1"/>
      <c r="F85" s="1"/>
      <c r="G85" s="1"/>
    </row>
    <row r="86" spans="1:7" ht="12.5" x14ac:dyDescent="0.25">
      <c r="A86" s="1"/>
      <c r="B86" s="1"/>
      <c r="C86" s="1"/>
      <c r="D86" s="1"/>
      <c r="E86" s="1"/>
      <c r="F86" s="1"/>
      <c r="G86" s="1"/>
    </row>
    <row r="87" spans="1:7" ht="12.5" x14ac:dyDescent="0.25">
      <c r="A87" s="1"/>
      <c r="B87" s="1"/>
      <c r="C87" s="1"/>
      <c r="D87" s="1"/>
      <c r="E87" s="1"/>
      <c r="F87" s="1"/>
      <c r="G87" s="1"/>
    </row>
    <row r="88" spans="1:7" ht="12.5" x14ac:dyDescent="0.25">
      <c r="A88" s="1"/>
      <c r="B88" s="1"/>
      <c r="C88" s="1"/>
      <c r="D88" s="1"/>
      <c r="E88" s="1"/>
      <c r="F88" s="1"/>
      <c r="G88" s="1"/>
    </row>
    <row r="89" spans="1:7" ht="12.5" x14ac:dyDescent="0.25">
      <c r="A89" s="1"/>
      <c r="B89" s="1"/>
      <c r="C89" s="1"/>
      <c r="D89" s="1"/>
      <c r="E89" s="1"/>
      <c r="F89" s="1"/>
      <c r="G89" s="1"/>
    </row>
    <row r="90" spans="1:7" ht="12.5" x14ac:dyDescent="0.25">
      <c r="A90" s="1"/>
      <c r="B90" s="1"/>
      <c r="C90" s="1"/>
      <c r="D90" s="1"/>
      <c r="E90" s="1"/>
      <c r="F90" s="1"/>
      <c r="G90" s="1"/>
    </row>
    <row r="91" spans="1:7" ht="12.5" x14ac:dyDescent="0.25">
      <c r="A91" s="1"/>
      <c r="B91" s="1"/>
      <c r="C91" s="1"/>
      <c r="D91" s="1"/>
      <c r="E91" s="1"/>
      <c r="F91" s="1"/>
      <c r="G91" s="1"/>
    </row>
    <row r="92" spans="1:7" ht="12.5" x14ac:dyDescent="0.25">
      <c r="A92" s="1"/>
      <c r="B92" s="1"/>
      <c r="C92" s="9"/>
      <c r="D92" s="1"/>
      <c r="E92" s="1"/>
      <c r="F92" s="1"/>
      <c r="G92" s="1"/>
    </row>
    <row r="93" spans="1:7" ht="12.5" x14ac:dyDescent="0.25">
      <c r="A93" s="1"/>
      <c r="B93" s="1"/>
      <c r="C93" s="1"/>
      <c r="D93" s="1"/>
      <c r="E93" s="1"/>
      <c r="F93" s="1"/>
      <c r="G93" s="1"/>
    </row>
    <row r="94" spans="1:7" ht="12.5" x14ac:dyDescent="0.25">
      <c r="A94" s="1"/>
      <c r="B94" s="1"/>
      <c r="C94" s="1"/>
      <c r="D94" s="1"/>
      <c r="E94" s="1"/>
      <c r="F94" s="1"/>
      <c r="G94" s="1"/>
    </row>
    <row r="95" spans="1:7" ht="12.5" x14ac:dyDescent="0.25">
      <c r="A95" s="1"/>
      <c r="B95" s="1"/>
      <c r="C95" s="1"/>
      <c r="D95" s="1"/>
      <c r="E95" s="1"/>
      <c r="F95" s="1"/>
      <c r="G95" s="1"/>
    </row>
    <row r="96" spans="1:7" ht="12.5" x14ac:dyDescent="0.25">
      <c r="A96" s="1"/>
      <c r="B96" s="1"/>
      <c r="C96" s="1"/>
      <c r="D96" s="1"/>
      <c r="E96" s="1"/>
      <c r="F96" s="1"/>
      <c r="G96" s="1"/>
    </row>
    <row r="97" spans="1:7" ht="12.5" x14ac:dyDescent="0.25">
      <c r="A97" s="1"/>
      <c r="B97" s="1"/>
      <c r="C97" s="1"/>
      <c r="D97" s="1"/>
      <c r="E97" s="1"/>
      <c r="F97" s="1"/>
      <c r="G97" s="1"/>
    </row>
    <row r="98" spans="1:7" ht="12.5" x14ac:dyDescent="0.25">
      <c r="A98" s="1"/>
      <c r="B98" s="9"/>
      <c r="C98" s="1"/>
      <c r="D98" s="1"/>
      <c r="E98" s="1"/>
      <c r="F98" s="1"/>
      <c r="G98" s="1"/>
    </row>
    <row r="99" spans="1:7" ht="12.5" x14ac:dyDescent="0.25">
      <c r="A99" s="1"/>
      <c r="B99" s="1"/>
      <c r="C99" s="1"/>
      <c r="D99" s="1"/>
      <c r="E99" s="1"/>
      <c r="F99" s="1"/>
      <c r="G99" s="1"/>
    </row>
    <row r="100" spans="1:7" ht="12.5" x14ac:dyDescent="0.25">
      <c r="A100" s="1"/>
      <c r="B100" s="9"/>
      <c r="C100" s="9"/>
      <c r="D100" s="1"/>
      <c r="E100" s="1"/>
      <c r="F100" s="1"/>
      <c r="G100" s="1"/>
    </row>
    <row r="101" spans="1:7" ht="12.5" x14ac:dyDescent="0.25">
      <c r="A101" s="1"/>
      <c r="B101" s="1"/>
      <c r="C101" s="1"/>
      <c r="D101" s="1"/>
      <c r="E101" s="1"/>
      <c r="F101" s="1"/>
      <c r="G101" s="1"/>
    </row>
    <row r="102" spans="1:7" ht="12.5" x14ac:dyDescent="0.25">
      <c r="A102" s="1"/>
      <c r="B102" s="1"/>
      <c r="C102" s="1"/>
      <c r="D102" s="1"/>
      <c r="E102" s="1"/>
      <c r="F102" s="1"/>
      <c r="G102" s="1"/>
    </row>
    <row r="103" spans="1:7" ht="12.5" x14ac:dyDescent="0.25">
      <c r="A103" s="1"/>
      <c r="B103" s="1"/>
      <c r="C103" s="1"/>
      <c r="D103" s="1"/>
      <c r="E103" s="1"/>
      <c r="F103" s="1"/>
      <c r="G103" s="1"/>
    </row>
    <row r="104" spans="1:7" ht="12.5" x14ac:dyDescent="0.25">
      <c r="A104" s="1"/>
      <c r="B104" s="1"/>
      <c r="C104" s="1"/>
      <c r="D104" s="1"/>
      <c r="E104" s="1"/>
      <c r="F104" s="1"/>
      <c r="G104" s="1"/>
    </row>
    <row r="105" spans="1:7" ht="12.5" x14ac:dyDescent="0.25">
      <c r="A105" s="1"/>
      <c r="B105" s="1"/>
      <c r="C105" s="1"/>
      <c r="D105" s="1"/>
      <c r="E105" s="1"/>
      <c r="F105" s="1"/>
      <c r="G105" s="1"/>
    </row>
    <row r="106" spans="1:7" ht="12.5" x14ac:dyDescent="0.25">
      <c r="A106" s="1"/>
      <c r="B106" s="1"/>
      <c r="C106" s="1"/>
      <c r="D106" s="1"/>
      <c r="E106" s="1"/>
      <c r="F106" s="1"/>
      <c r="G106" s="1"/>
    </row>
    <row r="107" spans="1:7" ht="12.5" x14ac:dyDescent="0.25">
      <c r="A107" s="1"/>
      <c r="B107" s="1"/>
      <c r="C107" s="1"/>
      <c r="D107" s="1"/>
      <c r="E107" s="1"/>
      <c r="F107" s="1"/>
      <c r="G107" s="1"/>
    </row>
    <row r="108" spans="1:7" ht="12.5" x14ac:dyDescent="0.25">
      <c r="A108" s="1"/>
      <c r="B108" s="1"/>
      <c r="C108" s="1"/>
      <c r="D108" s="1"/>
      <c r="E108" s="1"/>
      <c r="F108" s="1"/>
      <c r="G108" s="1"/>
    </row>
    <row r="109" spans="1:7" ht="12.5" x14ac:dyDescent="0.25">
      <c r="A109" s="1"/>
      <c r="B109" s="1"/>
      <c r="C109" s="1"/>
      <c r="D109" s="1"/>
      <c r="E109" s="1"/>
      <c r="F109" s="1"/>
      <c r="G109" s="1"/>
    </row>
    <row r="110" spans="1:7" ht="12.5" x14ac:dyDescent="0.25">
      <c r="A110" s="1"/>
      <c r="B110" s="1"/>
      <c r="C110" s="1"/>
      <c r="D110" s="1"/>
      <c r="E110" s="1"/>
      <c r="F110" s="1"/>
      <c r="G110" s="1"/>
    </row>
    <row r="111" spans="1:7" ht="12.5" x14ac:dyDescent="0.25">
      <c r="A111" s="1"/>
      <c r="B111" s="1"/>
      <c r="C111" s="1"/>
      <c r="D111" s="1"/>
      <c r="E111" s="1"/>
      <c r="F111" s="1"/>
      <c r="G111" s="1"/>
    </row>
    <row r="112" spans="1:7" ht="12.5" x14ac:dyDescent="0.25">
      <c r="A112" s="1"/>
      <c r="B112" s="1"/>
      <c r="C112" s="1"/>
      <c r="D112" s="1"/>
      <c r="E112" s="1"/>
      <c r="F112" s="1"/>
      <c r="G112" s="1"/>
    </row>
    <row r="113" spans="1:7" ht="12.5" x14ac:dyDescent="0.25">
      <c r="A113" s="1"/>
      <c r="B113" s="1"/>
      <c r="C113" s="1"/>
      <c r="D113" s="1"/>
      <c r="E113" s="1"/>
      <c r="F113" s="1"/>
      <c r="G113" s="1"/>
    </row>
    <row r="114" spans="1:7" ht="12.5" x14ac:dyDescent="0.25">
      <c r="A114" s="1"/>
      <c r="B114" s="1"/>
      <c r="C114" s="1"/>
      <c r="D114" s="1"/>
      <c r="E114" s="1"/>
      <c r="F114" s="1"/>
      <c r="G114" s="1"/>
    </row>
    <row r="115" spans="1:7" ht="12.5" x14ac:dyDescent="0.25">
      <c r="A115" s="1"/>
      <c r="B115" s="1"/>
      <c r="C115" s="1"/>
      <c r="D115" s="1"/>
      <c r="E115" s="1"/>
      <c r="F115" s="1"/>
      <c r="G115" s="1"/>
    </row>
    <row r="116" spans="1:7" ht="12.5" x14ac:dyDescent="0.25">
      <c r="A116" s="1"/>
      <c r="B116" s="1"/>
      <c r="C116" s="1"/>
      <c r="D116" s="1"/>
      <c r="E116" s="1"/>
      <c r="F116" s="1"/>
      <c r="G116" s="1"/>
    </row>
    <row r="117" spans="1:7" ht="12.5" x14ac:dyDescent="0.25">
      <c r="A117" s="1"/>
      <c r="B117" s="1"/>
      <c r="C117" s="1"/>
      <c r="D117" s="1"/>
      <c r="E117" s="1"/>
      <c r="F117" s="1"/>
      <c r="G117" s="1"/>
    </row>
    <row r="118" spans="1:7" ht="12.5" x14ac:dyDescent="0.25">
      <c r="A118" s="1"/>
      <c r="B118" s="1"/>
      <c r="C118" s="1"/>
      <c r="D118" s="1"/>
      <c r="E118" s="1"/>
      <c r="F118" s="1"/>
      <c r="G118" s="1"/>
    </row>
    <row r="119" spans="1:7" ht="12.5" x14ac:dyDescent="0.25">
      <c r="A119" s="1"/>
      <c r="B119" s="1"/>
      <c r="C119" s="1"/>
      <c r="D119" s="1"/>
      <c r="E119" s="1"/>
      <c r="F119" s="1"/>
      <c r="G119" s="1"/>
    </row>
    <row r="120" spans="1:7" ht="12.5" x14ac:dyDescent="0.25">
      <c r="A120" s="1"/>
      <c r="B120" s="1"/>
      <c r="C120" s="1"/>
      <c r="D120" s="1"/>
      <c r="E120" s="1"/>
      <c r="F120" s="1"/>
      <c r="G120" s="1"/>
    </row>
    <row r="121" spans="1:7" ht="12.5" x14ac:dyDescent="0.25">
      <c r="A121" s="1"/>
      <c r="B121" s="1"/>
      <c r="C121" s="1"/>
      <c r="D121" s="1"/>
      <c r="E121" s="1"/>
      <c r="F121" s="1"/>
      <c r="G121" s="1"/>
    </row>
    <row r="122" spans="1:7" ht="12.5" x14ac:dyDescent="0.25">
      <c r="A122" s="1"/>
      <c r="B122" s="1"/>
      <c r="C122" s="1"/>
      <c r="D122" s="1"/>
      <c r="E122" s="1"/>
      <c r="F122" s="1"/>
      <c r="G122" s="1"/>
    </row>
    <row r="123" spans="1:7" ht="12.5" x14ac:dyDescent="0.25">
      <c r="A123" s="1"/>
      <c r="B123" s="1"/>
      <c r="C123" s="1"/>
      <c r="D123" s="1"/>
      <c r="E123" s="1"/>
      <c r="F123" s="1"/>
      <c r="G123" s="1"/>
    </row>
    <row r="124" spans="1:7" ht="12.5" x14ac:dyDescent="0.25">
      <c r="A124" s="1"/>
      <c r="B124" s="1"/>
      <c r="C124" s="1"/>
      <c r="D124" s="1"/>
      <c r="E124" s="1"/>
      <c r="F124" s="1"/>
      <c r="G124" s="1"/>
    </row>
    <row r="125" spans="1:7" ht="12.5" x14ac:dyDescent="0.25">
      <c r="A125" s="1"/>
      <c r="B125" s="1"/>
      <c r="C125" s="1"/>
      <c r="D125" s="1"/>
      <c r="E125" s="1"/>
      <c r="F125" s="1"/>
      <c r="G125" s="1"/>
    </row>
    <row r="126" spans="1:7" ht="12.5" x14ac:dyDescent="0.25">
      <c r="A126" s="1"/>
      <c r="B126" s="1"/>
      <c r="C126" s="1"/>
      <c r="D126" s="1"/>
      <c r="E126" s="1"/>
      <c r="F126" s="1"/>
      <c r="G126" s="1"/>
    </row>
    <row r="127" spans="1:7" ht="12.5" x14ac:dyDescent="0.25">
      <c r="A127" s="1"/>
      <c r="B127" s="1"/>
      <c r="C127" s="1"/>
      <c r="D127" s="1"/>
      <c r="E127" s="1"/>
      <c r="F127" s="1"/>
      <c r="G127" s="1"/>
    </row>
    <row r="128" spans="1:7" ht="12.5" x14ac:dyDescent="0.25">
      <c r="A128" s="1"/>
      <c r="B128" s="1"/>
      <c r="C128" s="1"/>
      <c r="D128" s="1"/>
      <c r="E128" s="1"/>
      <c r="F128" s="1"/>
      <c r="G128" s="1"/>
    </row>
    <row r="129" spans="1:7" ht="12.5" x14ac:dyDescent="0.25">
      <c r="A129" s="1"/>
      <c r="B129" s="1"/>
      <c r="C129" s="1"/>
      <c r="D129" s="1"/>
      <c r="E129" s="1"/>
      <c r="F129" s="1"/>
      <c r="G129" s="1"/>
    </row>
    <row r="130" spans="1:7" ht="12.5" x14ac:dyDescent="0.25">
      <c r="A130" s="1"/>
      <c r="B130" s="1"/>
      <c r="C130" s="1"/>
      <c r="D130" s="1"/>
      <c r="E130" s="1"/>
      <c r="F130" s="1"/>
      <c r="G130" s="1"/>
    </row>
    <row r="131" spans="1:7" ht="12.5" x14ac:dyDescent="0.25">
      <c r="A131" s="1"/>
      <c r="B131" s="1"/>
      <c r="C131" s="1"/>
      <c r="D131" s="1"/>
      <c r="E131" s="1"/>
      <c r="F131" s="1"/>
      <c r="G131" s="1"/>
    </row>
    <row r="132" spans="1:7" ht="12.5" x14ac:dyDescent="0.25">
      <c r="A132" s="1"/>
      <c r="B132" s="1"/>
      <c r="C132" s="1"/>
      <c r="D132" s="1"/>
      <c r="E132" s="1"/>
      <c r="F132" s="1"/>
      <c r="G132" s="1"/>
    </row>
    <row r="133" spans="1:7" ht="12.5" x14ac:dyDescent="0.25">
      <c r="A133" s="1"/>
      <c r="B133" s="1"/>
      <c r="C133" s="1"/>
      <c r="D133" s="1"/>
      <c r="E133" s="1"/>
      <c r="F133" s="1"/>
      <c r="G133" s="1"/>
    </row>
    <row r="134" spans="1:7" ht="12.5" x14ac:dyDescent="0.25">
      <c r="A134" s="1"/>
      <c r="B134" s="1"/>
      <c r="C134" s="1"/>
      <c r="D134" s="1"/>
      <c r="E134" s="1"/>
      <c r="F134" s="1"/>
      <c r="G134" s="1"/>
    </row>
    <row r="135" spans="1:7" ht="12.5" x14ac:dyDescent="0.25">
      <c r="A135" s="1"/>
      <c r="B135" s="1"/>
      <c r="C135" s="1"/>
      <c r="D135" s="1"/>
      <c r="E135" s="1"/>
      <c r="F135" s="1"/>
      <c r="G135" s="1"/>
    </row>
    <row r="136" spans="1:7" ht="12.5" x14ac:dyDescent="0.25">
      <c r="A136" s="1"/>
      <c r="B136" s="1"/>
      <c r="C136" s="1"/>
      <c r="D136" s="1"/>
      <c r="E136" s="1"/>
      <c r="F136" s="1"/>
      <c r="G136" s="1"/>
    </row>
    <row r="137" spans="1:7" ht="12.5" x14ac:dyDescent="0.25">
      <c r="A137" s="1"/>
      <c r="B137" s="1"/>
      <c r="C137" s="1"/>
      <c r="D137" s="1"/>
      <c r="E137" s="1"/>
      <c r="F137" s="1"/>
      <c r="G137" s="1"/>
    </row>
    <row r="138" spans="1:7" ht="12.5" x14ac:dyDescent="0.25">
      <c r="A138" s="1"/>
      <c r="B138" s="1"/>
      <c r="C138" s="1"/>
      <c r="D138" s="1"/>
      <c r="E138" s="1"/>
      <c r="F138" s="1"/>
      <c r="G138" s="1"/>
    </row>
    <row r="139" spans="1:7" ht="12.5" x14ac:dyDescent="0.25">
      <c r="A139" s="1"/>
      <c r="B139" s="1"/>
      <c r="C139" s="1"/>
      <c r="D139" s="1"/>
      <c r="E139" s="1"/>
      <c r="F139" s="1"/>
      <c r="G139" s="1"/>
    </row>
    <row r="140" spans="1:7" ht="12.5" x14ac:dyDescent="0.25">
      <c r="A140" s="1"/>
      <c r="B140" s="1"/>
      <c r="C140" s="1"/>
      <c r="D140" s="1"/>
      <c r="E140" s="1"/>
      <c r="F140" s="1"/>
      <c r="G140" s="1"/>
    </row>
    <row r="141" spans="1:7" ht="12.5" x14ac:dyDescent="0.25">
      <c r="A141" s="1"/>
      <c r="B141" s="1"/>
      <c r="C141" s="1"/>
      <c r="D141" s="1"/>
      <c r="E141" s="1"/>
      <c r="F141" s="1"/>
      <c r="G141" s="1"/>
    </row>
    <row r="142" spans="1:7" ht="12.5" x14ac:dyDescent="0.25">
      <c r="A142" s="1"/>
      <c r="B142" s="1"/>
      <c r="C142" s="1"/>
      <c r="D142" s="1"/>
      <c r="E142" s="1"/>
      <c r="F142" s="1"/>
      <c r="G142" s="1"/>
    </row>
    <row r="143" spans="1:7" ht="12.5" x14ac:dyDescent="0.25">
      <c r="A143" s="1"/>
      <c r="B143" s="1"/>
      <c r="C143" s="1"/>
      <c r="D143" s="1"/>
      <c r="E143" s="1"/>
      <c r="F143" s="1"/>
      <c r="G143" s="1"/>
    </row>
    <row r="144" spans="1:7" ht="12.5" x14ac:dyDescent="0.25">
      <c r="A144" s="1"/>
      <c r="B144" s="1"/>
      <c r="C144" s="1"/>
      <c r="D144" s="1"/>
      <c r="E144" s="1"/>
      <c r="F144" s="1"/>
      <c r="G144" s="1"/>
    </row>
    <row r="145" spans="1:7" ht="12.5" x14ac:dyDescent="0.25">
      <c r="A145" s="1"/>
      <c r="B145" s="1"/>
      <c r="C145" s="1"/>
      <c r="D145" s="1"/>
      <c r="E145" s="1"/>
      <c r="F145" s="1"/>
      <c r="G145" s="1"/>
    </row>
    <row r="146" spans="1:7" ht="12.5" x14ac:dyDescent="0.25">
      <c r="A146" s="1"/>
      <c r="B146" s="1"/>
      <c r="C146" s="1"/>
      <c r="D146" s="1"/>
      <c r="E146" s="1"/>
      <c r="F146" s="1"/>
      <c r="G146" s="1"/>
    </row>
    <row r="147" spans="1:7" ht="12.5" x14ac:dyDescent="0.25">
      <c r="A147" s="1"/>
      <c r="B147" s="1"/>
      <c r="C147" s="1"/>
      <c r="D147" s="1"/>
      <c r="E147" s="1"/>
      <c r="F147" s="1"/>
      <c r="G147" s="1"/>
    </row>
    <row r="148" spans="1:7" ht="12.5" x14ac:dyDescent="0.25">
      <c r="A148" s="1"/>
      <c r="B148" s="1"/>
      <c r="C148" s="1"/>
      <c r="D148" s="1"/>
      <c r="E148" s="1"/>
      <c r="F148" s="1"/>
      <c r="G148" s="1"/>
    </row>
    <row r="149" spans="1:7" ht="12.5" x14ac:dyDescent="0.25">
      <c r="A149" s="1"/>
      <c r="B149" s="1"/>
      <c r="C149" s="1"/>
      <c r="D149" s="1"/>
      <c r="E149" s="1"/>
      <c r="F149" s="1"/>
      <c r="G149" s="1"/>
    </row>
    <row r="150" spans="1:7" ht="12.5" x14ac:dyDescent="0.25">
      <c r="A150" s="1"/>
      <c r="B150" s="1"/>
      <c r="C150" s="1"/>
      <c r="D150" s="1"/>
      <c r="E150" s="1"/>
      <c r="F150" s="1"/>
      <c r="G150" s="1"/>
    </row>
    <row r="151" spans="1:7" ht="12.5" x14ac:dyDescent="0.25">
      <c r="A151" s="1"/>
      <c r="B151" s="1"/>
      <c r="C151" s="1"/>
      <c r="D151" s="1"/>
      <c r="E151" s="1"/>
      <c r="F151" s="1"/>
      <c r="G151" s="1"/>
    </row>
    <row r="152" spans="1:7" ht="12.5" x14ac:dyDescent="0.25">
      <c r="A152" s="1"/>
      <c r="B152" s="1"/>
      <c r="C152" s="1"/>
      <c r="D152" s="1"/>
      <c r="E152" s="1"/>
      <c r="F152" s="1"/>
      <c r="G152" s="1"/>
    </row>
    <row r="153" spans="1:7" ht="12.5" x14ac:dyDescent="0.25">
      <c r="A153" s="1"/>
      <c r="B153" s="1"/>
      <c r="C153" s="1"/>
      <c r="D153" s="1"/>
      <c r="E153" s="1"/>
      <c r="F153" s="1"/>
      <c r="G153" s="1"/>
    </row>
    <row r="154" spans="1:7" ht="12.5" x14ac:dyDescent="0.25">
      <c r="A154" s="1"/>
      <c r="B154" s="1"/>
      <c r="C154" s="1"/>
      <c r="D154" s="1"/>
      <c r="E154" s="1"/>
      <c r="F154" s="1"/>
      <c r="G154" s="1"/>
    </row>
    <row r="155" spans="1:7" ht="12.5" x14ac:dyDescent="0.25">
      <c r="A155" s="1"/>
      <c r="B155" s="1"/>
      <c r="C155" s="1"/>
      <c r="D155" s="1"/>
      <c r="E155" s="1"/>
      <c r="F155" s="1"/>
      <c r="G155" s="1"/>
    </row>
    <row r="156" spans="1:7" ht="12.5" x14ac:dyDescent="0.25">
      <c r="A156" s="1"/>
      <c r="B156" s="1"/>
      <c r="C156" s="1"/>
      <c r="D156" s="1"/>
      <c r="E156" s="1"/>
      <c r="F156" s="1"/>
      <c r="G156" s="1"/>
    </row>
    <row r="157" spans="1:7" ht="12.5" x14ac:dyDescent="0.25">
      <c r="A157" s="1"/>
      <c r="B157" s="1"/>
      <c r="C157" s="1"/>
      <c r="D157" s="1"/>
      <c r="E157" s="1"/>
      <c r="F157" s="1"/>
      <c r="G157" s="1"/>
    </row>
    <row r="158" spans="1:7" ht="12.5" x14ac:dyDescent="0.25">
      <c r="A158" s="1"/>
      <c r="B158" s="1"/>
      <c r="C158" s="1"/>
      <c r="D158" s="1"/>
      <c r="E158" s="1"/>
      <c r="F158" s="1"/>
      <c r="G158" s="1"/>
    </row>
    <row r="159" spans="1:7" ht="12.5" x14ac:dyDescent="0.25">
      <c r="A159" s="1"/>
      <c r="B159" s="1"/>
      <c r="C159" s="1"/>
      <c r="D159" s="1"/>
      <c r="E159" s="1"/>
      <c r="F159" s="1"/>
      <c r="G159" s="1"/>
    </row>
    <row r="160" spans="1:7" ht="12.5" x14ac:dyDescent="0.25">
      <c r="A160" s="1"/>
      <c r="B160" s="1"/>
      <c r="C160" s="1"/>
      <c r="D160" s="1"/>
      <c r="E160" s="1"/>
      <c r="F160" s="1"/>
      <c r="G160" s="1"/>
    </row>
    <row r="161" spans="1:7" ht="12.5" x14ac:dyDescent="0.25">
      <c r="A161" s="1"/>
      <c r="B161" s="1"/>
      <c r="C161" s="1"/>
      <c r="D161" s="1"/>
      <c r="E161" s="1"/>
      <c r="F161" s="1"/>
      <c r="G161" s="1"/>
    </row>
    <row r="162" spans="1:7" ht="12.5" x14ac:dyDescent="0.25">
      <c r="A162" s="1"/>
      <c r="B162" s="1"/>
      <c r="C162" s="1"/>
      <c r="D162" s="1"/>
      <c r="E162" s="1"/>
      <c r="F162" s="1"/>
      <c r="G162" s="1"/>
    </row>
    <row r="163" spans="1:7" ht="12.5" x14ac:dyDescent="0.25">
      <c r="A163" s="1"/>
      <c r="B163" s="1"/>
      <c r="C163" s="1"/>
      <c r="D163" s="1"/>
      <c r="E163" s="1"/>
      <c r="F163" s="1"/>
      <c r="G163" s="1"/>
    </row>
    <row r="164" spans="1:7" ht="12.5" x14ac:dyDescent="0.25">
      <c r="A164" s="1"/>
      <c r="B164" s="1"/>
      <c r="C164" s="1"/>
      <c r="D164" s="1"/>
      <c r="E164" s="1"/>
      <c r="F164" s="1"/>
      <c r="G164" s="1"/>
    </row>
    <row r="165" spans="1:7" ht="12.5" x14ac:dyDescent="0.25">
      <c r="A165" s="1"/>
      <c r="B165" s="1"/>
      <c r="C165" s="1"/>
      <c r="D165" s="1"/>
      <c r="E165" s="1"/>
      <c r="F165" s="1"/>
      <c r="G165" s="1"/>
    </row>
    <row r="166" spans="1:7" ht="12.5" x14ac:dyDescent="0.25">
      <c r="A166" s="1"/>
      <c r="B166" s="1"/>
      <c r="C166" s="1"/>
      <c r="D166" s="1"/>
      <c r="E166" s="1"/>
      <c r="F166" s="1"/>
      <c r="G166" s="1"/>
    </row>
    <row r="167" spans="1:7" ht="12.5" x14ac:dyDescent="0.25">
      <c r="A167" s="1"/>
      <c r="B167" s="1"/>
      <c r="C167" s="1"/>
      <c r="D167" s="1"/>
      <c r="E167" s="1"/>
      <c r="F167" s="1"/>
      <c r="G167" s="1"/>
    </row>
    <row r="168" spans="1:7" ht="12.5" x14ac:dyDescent="0.25">
      <c r="A168" s="1"/>
      <c r="B168" s="1"/>
      <c r="C168" s="1"/>
      <c r="D168" s="1"/>
      <c r="E168" s="1"/>
      <c r="F168" s="1"/>
      <c r="G168" s="1"/>
    </row>
    <row r="169" spans="1:7" ht="12.5" x14ac:dyDescent="0.25">
      <c r="A169" s="1"/>
      <c r="B169" s="1"/>
      <c r="C169" s="1"/>
      <c r="D169" s="1"/>
      <c r="E169" s="1"/>
      <c r="F169" s="1"/>
      <c r="G169" s="1"/>
    </row>
    <row r="170" spans="1:7" ht="12.5" x14ac:dyDescent="0.25">
      <c r="A170" s="1"/>
      <c r="B170" s="1"/>
      <c r="C170" s="1"/>
      <c r="D170" s="1"/>
      <c r="E170" s="1"/>
      <c r="F170" s="1"/>
      <c r="G170" s="1"/>
    </row>
    <row r="171" spans="1:7" ht="12.5" x14ac:dyDescent="0.25">
      <c r="A171" s="1"/>
      <c r="B171" s="1"/>
      <c r="C171" s="1"/>
      <c r="D171" s="1"/>
      <c r="E171" s="1"/>
      <c r="F171" s="1"/>
      <c r="G171" s="1"/>
    </row>
    <row r="172" spans="1:7" ht="12.5" x14ac:dyDescent="0.25">
      <c r="A172" s="1"/>
      <c r="B172" s="1"/>
      <c r="C172" s="1"/>
      <c r="D172" s="1"/>
      <c r="E172" s="1"/>
      <c r="F172" s="1"/>
      <c r="G172" s="1"/>
    </row>
    <row r="173" spans="1:7" ht="12.5" x14ac:dyDescent="0.25">
      <c r="A173" s="1"/>
      <c r="B173" s="1"/>
      <c r="C173" s="1"/>
      <c r="D173" s="1"/>
      <c r="E173" s="1"/>
      <c r="F173" s="1"/>
      <c r="G173" s="1"/>
    </row>
    <row r="174" spans="1:7" ht="12.5" x14ac:dyDescent="0.25">
      <c r="A174" s="1"/>
      <c r="B174" s="1"/>
      <c r="C174" s="1"/>
      <c r="D174" s="1"/>
      <c r="E174" s="1"/>
      <c r="F174" s="1"/>
      <c r="G174" s="1"/>
    </row>
    <row r="175" spans="1:7" ht="12.5" x14ac:dyDescent="0.25">
      <c r="A175" s="1"/>
      <c r="B175" s="1"/>
      <c r="C175" s="1"/>
      <c r="D175" s="1"/>
      <c r="E175" s="1"/>
      <c r="F175" s="1"/>
      <c r="G175" s="1"/>
    </row>
    <row r="176" spans="1:7" ht="12.5" x14ac:dyDescent="0.25">
      <c r="A176" s="1"/>
      <c r="B176" s="1"/>
      <c r="C176" s="1"/>
      <c r="D176" s="1"/>
      <c r="E176" s="1"/>
      <c r="F176" s="1"/>
      <c r="G176" s="1"/>
    </row>
    <row r="177" spans="1:7" ht="12.5" x14ac:dyDescent="0.25">
      <c r="A177" s="1"/>
      <c r="B177" s="1"/>
      <c r="C177" s="1"/>
      <c r="D177" s="1"/>
      <c r="E177" s="1"/>
      <c r="F177" s="1"/>
      <c r="G177" s="1"/>
    </row>
    <row r="178" spans="1:7" ht="12.5" x14ac:dyDescent="0.25">
      <c r="A178" s="1"/>
      <c r="B178" s="1"/>
      <c r="C178" s="1"/>
      <c r="D178" s="1"/>
      <c r="E178" s="1"/>
      <c r="F178" s="1"/>
      <c r="G178" s="1"/>
    </row>
    <row r="179" spans="1:7" ht="12.5" x14ac:dyDescent="0.25">
      <c r="A179" s="1"/>
      <c r="B179" s="1"/>
      <c r="C179" s="1"/>
      <c r="D179" s="1"/>
      <c r="E179" s="1"/>
      <c r="F179" s="1"/>
      <c r="G179" s="1"/>
    </row>
    <row r="180" spans="1:7" ht="12.5" x14ac:dyDescent="0.25">
      <c r="A180" s="1"/>
      <c r="B180" s="1"/>
      <c r="C180" s="1"/>
      <c r="D180" s="1"/>
      <c r="E180" s="1"/>
      <c r="F180" s="1"/>
      <c r="G180" s="1"/>
    </row>
    <row r="181" spans="1:7" ht="12.5" x14ac:dyDescent="0.25">
      <c r="A181" s="1"/>
      <c r="B181" s="1"/>
      <c r="C181" s="1"/>
      <c r="D181" s="1"/>
      <c r="E181" s="1"/>
      <c r="F181" s="1"/>
      <c r="G181" s="1"/>
    </row>
    <row r="182" spans="1:7" ht="12.5" x14ac:dyDescent="0.25">
      <c r="A182" s="1"/>
      <c r="B182" s="1"/>
      <c r="C182" s="1"/>
      <c r="D182" s="1"/>
      <c r="E182" s="1"/>
      <c r="F182" s="1"/>
      <c r="G182" s="1"/>
    </row>
    <row r="183" spans="1:7" ht="12.5" x14ac:dyDescent="0.25">
      <c r="A183" s="1"/>
      <c r="B183" s="1"/>
      <c r="C183" s="1"/>
      <c r="D183" s="1"/>
      <c r="E183" s="1"/>
      <c r="F183" s="1"/>
      <c r="G183" s="1"/>
    </row>
    <row r="184" spans="1:7" ht="12.5" x14ac:dyDescent="0.25">
      <c r="A184" s="1"/>
      <c r="B184" s="1"/>
      <c r="C184" s="1"/>
      <c r="D184" s="1"/>
      <c r="E184" s="1"/>
      <c r="F184" s="1"/>
      <c r="G184" s="1"/>
    </row>
    <row r="185" spans="1:7" ht="12.5" x14ac:dyDescent="0.25">
      <c r="A185" s="1"/>
      <c r="B185" s="1"/>
      <c r="C185" s="1"/>
      <c r="D185" s="1"/>
      <c r="E185" s="1"/>
      <c r="F185" s="1"/>
      <c r="G185" s="1"/>
    </row>
    <row r="186" spans="1:7" ht="12.5" x14ac:dyDescent="0.25">
      <c r="A186" s="1"/>
      <c r="B186" s="1"/>
      <c r="C186" s="1"/>
      <c r="D186" s="1"/>
      <c r="E186" s="1"/>
      <c r="F186" s="1"/>
      <c r="G186" s="1"/>
    </row>
    <row r="187" spans="1:7" ht="12.5" x14ac:dyDescent="0.25">
      <c r="A187" s="1"/>
      <c r="B187" s="1"/>
      <c r="C187" s="1"/>
      <c r="D187" s="1"/>
      <c r="E187" s="1"/>
      <c r="F187" s="1"/>
      <c r="G187" s="1"/>
    </row>
    <row r="188" spans="1:7" ht="12.5" x14ac:dyDescent="0.25">
      <c r="A188" s="1"/>
      <c r="B188" s="1"/>
      <c r="C188" s="1"/>
      <c r="D188" s="1"/>
      <c r="E188" s="1"/>
      <c r="F188" s="1"/>
      <c r="G188" s="1"/>
    </row>
    <row r="189" spans="1:7" ht="12.5" x14ac:dyDescent="0.25">
      <c r="A189" s="1"/>
      <c r="B189" s="1"/>
      <c r="C189" s="1"/>
      <c r="D189" s="1"/>
      <c r="E189" s="1"/>
      <c r="F189" s="1"/>
      <c r="G189" s="1"/>
    </row>
    <row r="190" spans="1:7" ht="12.5" x14ac:dyDescent="0.25">
      <c r="A190" s="1"/>
      <c r="B190" s="1"/>
      <c r="C190" s="1"/>
      <c r="D190" s="1"/>
      <c r="E190" s="1"/>
      <c r="F190" s="1"/>
      <c r="G190" s="1"/>
    </row>
    <row r="191" spans="1:7" ht="12.5" x14ac:dyDescent="0.25">
      <c r="A191" s="1"/>
      <c r="B191" s="1"/>
      <c r="C191" s="1"/>
      <c r="D191" s="1"/>
      <c r="E191" s="1"/>
      <c r="F191" s="1"/>
      <c r="G191" s="1"/>
    </row>
    <row r="192" spans="1:7" ht="12.5" x14ac:dyDescent="0.25">
      <c r="A192" s="1"/>
      <c r="B192" s="1"/>
      <c r="C192" s="1"/>
      <c r="D192" s="1"/>
      <c r="E192" s="1"/>
      <c r="F192" s="1"/>
      <c r="G192" s="1"/>
    </row>
    <row r="193" spans="1:7" ht="12.5" x14ac:dyDescent="0.25">
      <c r="A193" s="1"/>
      <c r="B193" s="1"/>
      <c r="C193" s="1"/>
      <c r="D193" s="1"/>
      <c r="E193" s="1"/>
      <c r="F193" s="1"/>
      <c r="G193" s="1"/>
    </row>
    <row r="194" spans="1:7" ht="12.5" x14ac:dyDescent="0.25">
      <c r="A194" s="1"/>
      <c r="B194" s="1"/>
      <c r="C194" s="1"/>
      <c r="D194" s="1"/>
      <c r="E194" s="1"/>
      <c r="F194" s="1"/>
      <c r="G194" s="1"/>
    </row>
    <row r="195" spans="1:7" ht="12.5" x14ac:dyDescent="0.25">
      <c r="A195" s="1"/>
      <c r="B195" s="1"/>
      <c r="C195" s="1"/>
      <c r="D195" s="1"/>
      <c r="E195" s="1"/>
      <c r="F195" s="1"/>
      <c r="G195" s="1"/>
    </row>
    <row r="196" spans="1:7" ht="12.5" x14ac:dyDescent="0.25">
      <c r="A196" s="1"/>
      <c r="B196" s="1"/>
      <c r="C196" s="1"/>
      <c r="D196" s="1"/>
      <c r="E196" s="1"/>
      <c r="F196" s="1"/>
      <c r="G196" s="1"/>
    </row>
    <row r="197" spans="1:7" ht="12.5" x14ac:dyDescent="0.25">
      <c r="A197" s="1"/>
      <c r="B197" s="1"/>
      <c r="C197" s="1"/>
      <c r="D197" s="1"/>
      <c r="E197" s="1"/>
      <c r="F197" s="1"/>
      <c r="G197" s="1"/>
    </row>
    <row r="198" spans="1:7" ht="12.5" x14ac:dyDescent="0.25">
      <c r="A198" s="1"/>
      <c r="B198" s="1"/>
      <c r="C198" s="1"/>
      <c r="D198" s="1"/>
      <c r="E198" s="1"/>
      <c r="F198" s="1"/>
      <c r="G198" s="1"/>
    </row>
    <row r="199" spans="1:7" ht="12.5" x14ac:dyDescent="0.25">
      <c r="A199" s="1"/>
      <c r="B199" s="1"/>
      <c r="C199" s="1"/>
      <c r="D199" s="1"/>
      <c r="E199" s="1"/>
      <c r="F199" s="1"/>
      <c r="G199" s="1"/>
    </row>
    <row r="200" spans="1:7" ht="12.5" x14ac:dyDescent="0.25">
      <c r="A200" s="1"/>
      <c r="B200" s="1"/>
      <c r="C200" s="1"/>
      <c r="D200" s="1"/>
      <c r="E200" s="1"/>
      <c r="F200" s="1"/>
      <c r="G200" s="1"/>
    </row>
    <row r="201" spans="1:7" ht="12.5" x14ac:dyDescent="0.25">
      <c r="A201" s="1"/>
      <c r="B201" s="1"/>
      <c r="C201" s="1"/>
      <c r="D201" s="1"/>
      <c r="E201" s="1"/>
      <c r="F201" s="1"/>
      <c r="G201" s="1"/>
    </row>
    <row r="202" spans="1:7" ht="12.5" x14ac:dyDescent="0.25">
      <c r="A202" s="1"/>
      <c r="B202" s="1"/>
      <c r="C202" s="1"/>
      <c r="D202" s="1"/>
      <c r="E202" s="1"/>
      <c r="F202" s="1"/>
      <c r="G202" s="1"/>
    </row>
    <row r="203" spans="1:7" ht="12.5" x14ac:dyDescent="0.25">
      <c r="A203" s="1"/>
      <c r="B203" s="1"/>
      <c r="C203" s="1"/>
      <c r="D203" s="1"/>
      <c r="E203" s="1"/>
      <c r="F203" s="1"/>
      <c r="G203" s="1"/>
    </row>
    <row r="204" spans="1:7" ht="12.5" x14ac:dyDescent="0.25">
      <c r="A204" s="1"/>
      <c r="B204" s="1"/>
      <c r="C204" s="1"/>
      <c r="D204" s="1"/>
      <c r="E204" s="1"/>
      <c r="F204" s="1"/>
      <c r="G204" s="1"/>
    </row>
    <row r="205" spans="1:7" ht="12.5" x14ac:dyDescent="0.25">
      <c r="A205" s="1"/>
      <c r="B205" s="1"/>
      <c r="C205" s="1"/>
      <c r="D205" s="1"/>
      <c r="E205" s="1"/>
      <c r="F205" s="1"/>
      <c r="G205" s="1"/>
    </row>
    <row r="206" spans="1:7" ht="12.5" x14ac:dyDescent="0.25">
      <c r="A206" s="1"/>
      <c r="B206" s="1"/>
      <c r="C206" s="1"/>
      <c r="D206" s="1"/>
      <c r="E206" s="1"/>
      <c r="F206" s="1"/>
      <c r="G206" s="1"/>
    </row>
    <row r="207" spans="1:7" ht="12.5" x14ac:dyDescent="0.25">
      <c r="A207" s="1"/>
      <c r="B207" s="1"/>
      <c r="C207" s="1"/>
      <c r="D207" s="1"/>
      <c r="E207" s="1"/>
      <c r="F207" s="1"/>
      <c r="G207" s="1"/>
    </row>
    <row r="208" spans="1:7" ht="12.5" x14ac:dyDescent="0.25">
      <c r="A208" s="1"/>
      <c r="B208" s="1"/>
      <c r="C208" s="1"/>
      <c r="D208" s="1"/>
      <c r="E208" s="1"/>
      <c r="F208" s="1"/>
      <c r="G208" s="1"/>
    </row>
    <row r="209" spans="1:7" ht="12.5" x14ac:dyDescent="0.25">
      <c r="A209" s="1"/>
      <c r="B209" s="1"/>
      <c r="C209" s="1"/>
      <c r="D209" s="1"/>
      <c r="E209" s="1"/>
      <c r="F209" s="1"/>
      <c r="G209" s="1"/>
    </row>
    <row r="210" spans="1:7" ht="12.5" x14ac:dyDescent="0.25">
      <c r="A210" s="1"/>
      <c r="B210" s="1"/>
      <c r="C210" s="1"/>
      <c r="D210" s="1"/>
      <c r="E210" s="1"/>
      <c r="F210" s="1"/>
      <c r="G210" s="1"/>
    </row>
    <row r="211" spans="1:7" ht="12.5" x14ac:dyDescent="0.25">
      <c r="A211" s="1"/>
      <c r="B211" s="1"/>
      <c r="C211" s="1"/>
      <c r="D211" s="1"/>
      <c r="E211" s="1"/>
      <c r="F211" s="1"/>
      <c r="G211" s="1"/>
    </row>
    <row r="212" spans="1:7" ht="12.5" x14ac:dyDescent="0.25">
      <c r="A212" s="1"/>
      <c r="B212" s="1"/>
      <c r="C212" s="1"/>
      <c r="D212" s="1"/>
      <c r="E212" s="1"/>
      <c r="F212" s="1"/>
      <c r="G212" s="1"/>
    </row>
    <row r="213" spans="1:7" ht="12.5" x14ac:dyDescent="0.25">
      <c r="A213" s="1"/>
      <c r="B213" s="1"/>
      <c r="C213" s="1"/>
      <c r="D213" s="1"/>
      <c r="E213" s="1"/>
      <c r="F213" s="1"/>
      <c r="G213" s="1"/>
    </row>
    <row r="214" spans="1:7" ht="12.5" x14ac:dyDescent="0.25">
      <c r="A214" s="1"/>
      <c r="B214" s="1"/>
      <c r="C214" s="1"/>
      <c r="D214" s="1"/>
      <c r="E214" s="1"/>
      <c r="F214" s="1"/>
      <c r="G214" s="1"/>
    </row>
    <row r="215" spans="1:7" ht="12.5" x14ac:dyDescent="0.25">
      <c r="A215" s="1"/>
      <c r="B215" s="1"/>
      <c r="C215" s="1"/>
      <c r="D215" s="1"/>
      <c r="E215" s="1"/>
      <c r="F215" s="1"/>
      <c r="G215" s="1"/>
    </row>
    <row r="216" spans="1:7" ht="12.5" x14ac:dyDescent="0.25">
      <c r="A216" s="1"/>
      <c r="B216" s="1"/>
      <c r="C216" s="1"/>
      <c r="D216" s="1"/>
      <c r="E216" s="1"/>
      <c r="F216" s="1"/>
      <c r="G216" s="1"/>
    </row>
    <row r="217" spans="1:7" ht="12.5" x14ac:dyDescent="0.25">
      <c r="A217" s="1"/>
      <c r="B217" s="1"/>
      <c r="C217" s="1"/>
      <c r="D217" s="1"/>
      <c r="E217" s="1"/>
      <c r="F217" s="1"/>
      <c r="G217" s="1"/>
    </row>
    <row r="218" spans="1:7" ht="12.5" x14ac:dyDescent="0.25">
      <c r="A218" s="1"/>
      <c r="B218" s="1"/>
      <c r="C218" s="1"/>
      <c r="D218" s="1"/>
      <c r="E218" s="1"/>
      <c r="F218" s="1"/>
      <c r="G218" s="1"/>
    </row>
    <row r="219" spans="1:7" ht="12.5" x14ac:dyDescent="0.25">
      <c r="A219" s="1"/>
      <c r="B219" s="1"/>
      <c r="C219" s="1"/>
      <c r="D219" s="1"/>
      <c r="E219" s="1"/>
      <c r="F219" s="1"/>
      <c r="G219" s="1"/>
    </row>
    <row r="220" spans="1:7" ht="12.5" x14ac:dyDescent="0.25">
      <c r="A220" s="1"/>
      <c r="B220" s="1"/>
      <c r="C220" s="1"/>
      <c r="D220" s="1"/>
      <c r="E220" s="1"/>
      <c r="F220" s="1"/>
      <c r="G220" s="1"/>
    </row>
    <row r="221" spans="1:7" ht="12.5" x14ac:dyDescent="0.25">
      <c r="A221" s="1"/>
      <c r="B221" s="1"/>
      <c r="C221" s="1"/>
      <c r="D221" s="1"/>
      <c r="E221" s="1"/>
      <c r="F221" s="1"/>
      <c r="G221" s="1"/>
    </row>
    <row r="222" spans="1:7" ht="12.5" x14ac:dyDescent="0.25">
      <c r="A222" s="1"/>
      <c r="B222" s="1"/>
      <c r="C222" s="1"/>
      <c r="D222" s="1"/>
      <c r="E222" s="1"/>
      <c r="F222" s="1"/>
      <c r="G222" s="1"/>
    </row>
    <row r="223" spans="1:7" ht="12.5" x14ac:dyDescent="0.25">
      <c r="A223" s="1"/>
      <c r="B223" s="1"/>
      <c r="C223" s="1"/>
      <c r="D223" s="1"/>
      <c r="E223" s="1"/>
      <c r="F223" s="1"/>
      <c r="G223" s="1"/>
    </row>
    <row r="224" spans="1:7" ht="12.5" x14ac:dyDescent="0.25">
      <c r="A224" s="1"/>
      <c r="B224" s="1"/>
      <c r="C224" s="1"/>
      <c r="D224" s="1"/>
      <c r="E224" s="1"/>
      <c r="F224" s="1"/>
      <c r="G224" s="1"/>
    </row>
    <row r="225" spans="1:7" ht="12.5" x14ac:dyDescent="0.25">
      <c r="A225" s="1"/>
      <c r="B225" s="1"/>
      <c r="C225" s="1"/>
      <c r="D225" s="1"/>
      <c r="E225" s="1"/>
      <c r="F225" s="1"/>
      <c r="G225" s="1"/>
    </row>
    <row r="226" spans="1:7" ht="12.5" x14ac:dyDescent="0.25">
      <c r="A226" s="1"/>
      <c r="B226" s="1"/>
      <c r="C226" s="1"/>
      <c r="D226" s="1"/>
      <c r="E226" s="1"/>
      <c r="F226" s="1"/>
      <c r="G226" s="1"/>
    </row>
    <row r="227" spans="1:7" ht="12.5" x14ac:dyDescent="0.25">
      <c r="A227" s="1"/>
      <c r="B227" s="1"/>
      <c r="C227" s="1"/>
      <c r="D227" s="1"/>
      <c r="E227" s="1"/>
      <c r="F227" s="1"/>
      <c r="G227" s="1"/>
    </row>
    <row r="228" spans="1:7" ht="12.5" x14ac:dyDescent="0.25">
      <c r="A228" s="1"/>
      <c r="B228" s="1"/>
      <c r="C228" s="1"/>
      <c r="D228" s="1"/>
      <c r="E228" s="1"/>
      <c r="F228" s="1"/>
      <c r="G228" s="1"/>
    </row>
    <row r="229" spans="1:7" ht="12.5" x14ac:dyDescent="0.25">
      <c r="A229" s="1"/>
      <c r="B229" s="1"/>
      <c r="C229" s="1"/>
      <c r="D229" s="1"/>
      <c r="E229" s="1"/>
      <c r="F229" s="1"/>
      <c r="G229" s="1"/>
    </row>
    <row r="230" spans="1:7" ht="12.5" x14ac:dyDescent="0.25">
      <c r="A230" s="1"/>
      <c r="B230" s="1"/>
      <c r="C230" s="1"/>
      <c r="D230" s="1"/>
      <c r="E230" s="1"/>
      <c r="F230" s="1"/>
      <c r="G230" s="1"/>
    </row>
    <row r="231" spans="1:7" ht="12.5" x14ac:dyDescent="0.25">
      <c r="A231" s="1"/>
      <c r="B231" s="1"/>
      <c r="C231" s="1"/>
      <c r="D231" s="1"/>
      <c r="E231" s="1"/>
      <c r="F231" s="1"/>
      <c r="G231" s="1"/>
    </row>
    <row r="232" spans="1:7" ht="12.5" x14ac:dyDescent="0.25">
      <c r="A232" s="1"/>
      <c r="B232" s="1"/>
      <c r="C232" s="1"/>
      <c r="D232" s="1"/>
      <c r="E232" s="1"/>
      <c r="F232" s="1"/>
      <c r="G232" s="1"/>
    </row>
    <row r="233" spans="1:7" ht="12.5" x14ac:dyDescent="0.25">
      <c r="A233" s="1"/>
      <c r="B233" s="1"/>
      <c r="C233" s="1"/>
      <c r="D233" s="1"/>
      <c r="E233" s="1"/>
      <c r="F233" s="1"/>
      <c r="G233" s="1"/>
    </row>
    <row r="234" spans="1:7" ht="12.5" x14ac:dyDescent="0.25">
      <c r="A234" s="1"/>
      <c r="B234" s="1"/>
      <c r="C234" s="1"/>
      <c r="D234" s="1"/>
      <c r="E234" s="1"/>
      <c r="F234" s="1"/>
      <c r="G234" s="1"/>
    </row>
    <row r="235" spans="1:7" ht="12.5" x14ac:dyDescent="0.25">
      <c r="A235" s="1"/>
      <c r="B235" s="1"/>
      <c r="C235" s="1"/>
      <c r="D235" s="1"/>
      <c r="E235" s="1"/>
      <c r="F235" s="1"/>
      <c r="G235" s="1"/>
    </row>
    <row r="236" spans="1:7" ht="12.5" x14ac:dyDescent="0.25">
      <c r="A236" s="1"/>
      <c r="B236" s="1"/>
      <c r="C236" s="1"/>
      <c r="D236" s="1"/>
      <c r="E236" s="1"/>
      <c r="F236" s="1"/>
      <c r="G236" s="1"/>
    </row>
    <row r="237" spans="1:7" ht="12.5" x14ac:dyDescent="0.25">
      <c r="A237" s="1"/>
      <c r="B237" s="1"/>
      <c r="C237" s="1"/>
      <c r="D237" s="1"/>
      <c r="E237" s="1"/>
      <c r="F237" s="1"/>
      <c r="G237" s="1"/>
    </row>
    <row r="238" spans="1:7" ht="12.5" x14ac:dyDescent="0.25">
      <c r="A238" s="1"/>
      <c r="B238" s="1"/>
      <c r="C238" s="1"/>
      <c r="D238" s="1"/>
      <c r="E238" s="1"/>
      <c r="F238" s="1"/>
      <c r="G238" s="1"/>
    </row>
    <row r="239" spans="1:7" ht="12.5" x14ac:dyDescent="0.25">
      <c r="A239" s="1"/>
      <c r="B239" s="1"/>
      <c r="C239" s="1"/>
      <c r="D239" s="1"/>
      <c r="E239" s="1"/>
      <c r="F239" s="1"/>
      <c r="G239" s="1"/>
    </row>
    <row r="240" spans="1:7" ht="12.5" x14ac:dyDescent="0.25">
      <c r="A240" s="1"/>
      <c r="B240" s="1"/>
      <c r="C240" s="1"/>
      <c r="D240" s="1"/>
      <c r="E240" s="1"/>
      <c r="F240" s="1"/>
      <c r="G240" s="1"/>
    </row>
    <row r="241" spans="1:7" ht="12.5" x14ac:dyDescent="0.25">
      <c r="A241" s="1"/>
      <c r="B241" s="1"/>
      <c r="C241" s="1"/>
      <c r="D241" s="1"/>
      <c r="E241" s="1"/>
      <c r="F241" s="1"/>
      <c r="G241" s="1"/>
    </row>
    <row r="242" spans="1:7" ht="12.5" x14ac:dyDescent="0.25">
      <c r="A242" s="1"/>
      <c r="B242" s="1"/>
      <c r="C242" s="1"/>
      <c r="D242" s="1"/>
      <c r="E242" s="1"/>
      <c r="F242" s="1"/>
      <c r="G242" s="1"/>
    </row>
    <row r="243" spans="1:7" ht="12.5" x14ac:dyDescent="0.25">
      <c r="A243" s="1"/>
      <c r="B243" s="1"/>
      <c r="C243" s="1"/>
      <c r="D243" s="1"/>
      <c r="E243" s="1"/>
      <c r="F243" s="1"/>
      <c r="G243" s="1"/>
    </row>
    <row r="244" spans="1:7" ht="12.5" x14ac:dyDescent="0.25">
      <c r="A244" s="1"/>
      <c r="B244" s="1"/>
      <c r="C244" s="1"/>
      <c r="D244" s="1"/>
      <c r="E244" s="1"/>
      <c r="F244" s="1"/>
      <c r="G244" s="1"/>
    </row>
    <row r="245" spans="1:7" ht="12.5" x14ac:dyDescent="0.25">
      <c r="A245" s="1"/>
      <c r="B245" s="1"/>
      <c r="C245" s="1"/>
      <c r="D245" s="1"/>
      <c r="E245" s="1"/>
      <c r="F245" s="1"/>
      <c r="G245" s="1"/>
    </row>
    <row r="246" spans="1:7" ht="12.5" x14ac:dyDescent="0.25">
      <c r="A246" s="1"/>
      <c r="B246" s="1"/>
      <c r="C246" s="1"/>
      <c r="D246" s="1"/>
      <c r="E246" s="1"/>
      <c r="F246" s="1"/>
      <c r="G246" s="1"/>
    </row>
    <row r="247" spans="1:7" ht="12.5" x14ac:dyDescent="0.25">
      <c r="A247" s="1"/>
      <c r="B247" s="1"/>
      <c r="C247" s="1"/>
      <c r="D247" s="1"/>
      <c r="E247" s="1"/>
      <c r="F247" s="1"/>
      <c r="G247" s="1"/>
    </row>
    <row r="248" spans="1:7" ht="12.5" x14ac:dyDescent="0.25">
      <c r="A248" s="1"/>
      <c r="B248" s="1"/>
      <c r="C248" s="1"/>
      <c r="D248" s="1"/>
      <c r="E248" s="1"/>
      <c r="F248" s="1"/>
      <c r="G248" s="1"/>
    </row>
    <row r="249" spans="1:7" ht="12.5" x14ac:dyDescent="0.25">
      <c r="A249" s="1"/>
      <c r="B249" s="1"/>
      <c r="C249" s="1"/>
      <c r="D249" s="1"/>
      <c r="E249" s="1"/>
      <c r="F249" s="1"/>
      <c r="G249" s="1"/>
    </row>
    <row r="250" spans="1:7" ht="12.5" x14ac:dyDescent="0.25">
      <c r="A250" s="1"/>
      <c r="B250" s="1"/>
      <c r="C250" s="1"/>
      <c r="D250" s="1"/>
      <c r="E250" s="1"/>
      <c r="F250" s="1"/>
      <c r="G250" s="1"/>
    </row>
    <row r="251" spans="1:7" ht="12.5" x14ac:dyDescent="0.25">
      <c r="A251" s="1"/>
      <c r="B251" s="1"/>
      <c r="C251" s="1"/>
      <c r="D251" s="1"/>
      <c r="E251" s="1"/>
      <c r="F251" s="1"/>
      <c r="G251" s="1"/>
    </row>
    <row r="252" spans="1:7" ht="12.5" x14ac:dyDescent="0.25">
      <c r="A252" s="1"/>
      <c r="B252" s="1"/>
      <c r="C252" s="1"/>
      <c r="D252" s="1"/>
      <c r="E252" s="1"/>
      <c r="F252" s="1"/>
      <c r="G252" s="1"/>
    </row>
    <row r="253" spans="1:7" ht="12.5" x14ac:dyDescent="0.25">
      <c r="A253" s="1"/>
      <c r="B253" s="1"/>
      <c r="C253" s="1"/>
      <c r="D253" s="1"/>
      <c r="E253" s="1"/>
      <c r="F253" s="1"/>
      <c r="G253" s="1"/>
    </row>
    <row r="254" spans="1:7" ht="12.5" x14ac:dyDescent="0.25">
      <c r="A254" s="1"/>
      <c r="B254" s="1"/>
      <c r="C254" s="1"/>
      <c r="D254" s="1"/>
      <c r="E254" s="1"/>
      <c r="F254" s="1"/>
      <c r="G254" s="1"/>
    </row>
    <row r="255" spans="1:7" ht="12.5" x14ac:dyDescent="0.25">
      <c r="A255" s="1"/>
      <c r="B255" s="1"/>
      <c r="C255" s="1"/>
      <c r="D255" s="1"/>
      <c r="E255" s="1"/>
      <c r="F255" s="1"/>
      <c r="G255" s="1"/>
    </row>
    <row r="256" spans="1:7" ht="12.5" x14ac:dyDescent="0.25">
      <c r="A256" s="1"/>
      <c r="B256" s="1"/>
      <c r="C256" s="1"/>
      <c r="D256" s="1"/>
      <c r="E256" s="1"/>
      <c r="F256" s="1"/>
      <c r="G256" s="1"/>
    </row>
    <row r="257" spans="1:7" ht="12.5" x14ac:dyDescent="0.25">
      <c r="A257" s="1"/>
      <c r="B257" s="1"/>
      <c r="C257" s="1"/>
      <c r="D257" s="1"/>
      <c r="E257" s="1"/>
      <c r="F257" s="1"/>
      <c r="G257" s="1"/>
    </row>
    <row r="258" spans="1:7" ht="12.5" x14ac:dyDescent="0.25">
      <c r="A258" s="1"/>
      <c r="B258" s="1"/>
      <c r="C258" s="1"/>
      <c r="D258" s="1"/>
      <c r="E258" s="1"/>
      <c r="F258" s="1"/>
      <c r="G258" s="1"/>
    </row>
    <row r="259" spans="1:7" ht="12.5" x14ac:dyDescent="0.25">
      <c r="A259" s="1"/>
      <c r="B259" s="1"/>
      <c r="C259" s="1"/>
      <c r="D259" s="1"/>
      <c r="E259" s="1"/>
      <c r="F259" s="1"/>
      <c r="G259" s="1"/>
    </row>
    <row r="260" spans="1:7" ht="12.5" x14ac:dyDescent="0.25">
      <c r="A260" s="1"/>
      <c r="B260" s="1"/>
      <c r="C260" s="1"/>
      <c r="D260" s="1"/>
      <c r="E260" s="1"/>
      <c r="F260" s="1"/>
      <c r="G260" s="1"/>
    </row>
    <row r="261" spans="1:7" ht="12.5" x14ac:dyDescent="0.25">
      <c r="A261" s="1"/>
      <c r="B261" s="1"/>
      <c r="C261" s="1"/>
      <c r="D261" s="1"/>
      <c r="E261" s="1"/>
      <c r="F261" s="1"/>
      <c r="G261" s="1"/>
    </row>
    <row r="262" spans="1:7" ht="12.5" x14ac:dyDescent="0.25">
      <c r="A262" s="1"/>
      <c r="B262" s="1"/>
      <c r="C262" s="1"/>
      <c r="D262" s="1"/>
      <c r="E262" s="1"/>
      <c r="F262" s="1"/>
      <c r="G262" s="1"/>
    </row>
    <row r="263" spans="1:7" ht="12.5" x14ac:dyDescent="0.25">
      <c r="A263" s="1"/>
      <c r="B263" s="1"/>
      <c r="C263" s="1"/>
      <c r="D263" s="1"/>
      <c r="E263" s="1"/>
      <c r="F263" s="1"/>
      <c r="G263" s="1"/>
    </row>
    <row r="264" spans="1:7" ht="12.5" x14ac:dyDescent="0.25">
      <c r="A264" s="1"/>
      <c r="B264" s="1"/>
      <c r="C264" s="1"/>
      <c r="D264" s="1"/>
      <c r="E264" s="1"/>
      <c r="F264" s="1"/>
      <c r="G264" s="1"/>
    </row>
    <row r="265" spans="1:7" ht="12.5" x14ac:dyDescent="0.25">
      <c r="A265" s="1"/>
      <c r="B265" s="1"/>
      <c r="C265" s="1"/>
      <c r="D265" s="1"/>
      <c r="E265" s="1"/>
      <c r="F265" s="1"/>
      <c r="G265" s="1"/>
    </row>
    <row r="266" spans="1:7" ht="12.5" x14ac:dyDescent="0.25">
      <c r="A266" s="1"/>
      <c r="B266" s="1"/>
      <c r="C266" s="1"/>
      <c r="D266" s="1"/>
      <c r="E266" s="1"/>
      <c r="F266" s="1"/>
      <c r="G266" s="1"/>
    </row>
    <row r="267" spans="1:7" ht="12.5" x14ac:dyDescent="0.25">
      <c r="A267" s="1"/>
      <c r="B267" s="1"/>
      <c r="C267" s="1"/>
      <c r="D267" s="1"/>
      <c r="E267" s="1"/>
      <c r="F267" s="1"/>
      <c r="G267" s="1"/>
    </row>
    <row r="268" spans="1:7" ht="12.5" x14ac:dyDescent="0.25">
      <c r="A268" s="1"/>
      <c r="B268" s="1"/>
      <c r="C268" s="1"/>
      <c r="D268" s="1"/>
      <c r="E268" s="1"/>
      <c r="F268" s="1"/>
      <c r="G268" s="1"/>
    </row>
    <row r="269" spans="1:7" ht="12.5" x14ac:dyDescent="0.25">
      <c r="A269" s="1"/>
      <c r="B269" s="1"/>
      <c r="C269" s="1"/>
      <c r="D269" s="1"/>
      <c r="E269" s="1"/>
      <c r="F269" s="1"/>
      <c r="G269" s="1"/>
    </row>
    <row r="270" spans="1:7" ht="12.5" x14ac:dyDescent="0.25">
      <c r="A270" s="1"/>
      <c r="B270" s="1"/>
      <c r="C270" s="1"/>
      <c r="D270" s="1"/>
      <c r="E270" s="1"/>
      <c r="F270" s="1"/>
      <c r="G270" s="1"/>
    </row>
    <row r="271" spans="1:7" ht="12.5" x14ac:dyDescent="0.25">
      <c r="A271" s="1"/>
      <c r="B271" s="1"/>
      <c r="C271" s="1"/>
      <c r="D271" s="1"/>
      <c r="E271" s="1"/>
      <c r="F271" s="1"/>
      <c r="G271" s="1"/>
    </row>
    <row r="272" spans="1:7" ht="12.5" x14ac:dyDescent="0.25">
      <c r="A272" s="1"/>
      <c r="B272" s="1"/>
      <c r="C272" s="1"/>
      <c r="D272" s="1"/>
      <c r="E272" s="1"/>
      <c r="F272" s="1"/>
      <c r="G272" s="1"/>
    </row>
    <row r="273" spans="1:7" ht="12.5" x14ac:dyDescent="0.25">
      <c r="A273" s="1"/>
      <c r="B273" s="1"/>
      <c r="C273" s="1"/>
      <c r="D273" s="1"/>
      <c r="E273" s="1"/>
      <c r="F273" s="1"/>
      <c r="G273" s="1"/>
    </row>
    <row r="274" spans="1:7" ht="12.5" x14ac:dyDescent="0.25">
      <c r="A274" s="1"/>
      <c r="B274" s="1"/>
      <c r="C274" s="1"/>
      <c r="D274" s="1"/>
      <c r="E274" s="1"/>
      <c r="F274" s="1"/>
      <c r="G274" s="1"/>
    </row>
    <row r="275" spans="1:7" ht="12.5" x14ac:dyDescent="0.25">
      <c r="A275" s="1"/>
      <c r="B275" s="1"/>
      <c r="C275" s="1"/>
      <c r="D275" s="1"/>
      <c r="E275" s="1"/>
      <c r="F275" s="1"/>
      <c r="G275" s="1"/>
    </row>
    <row r="276" spans="1:7" ht="12.5" x14ac:dyDescent="0.25">
      <c r="A276" s="1"/>
      <c r="B276" s="1"/>
      <c r="C276" s="1"/>
      <c r="D276" s="1"/>
      <c r="E276" s="1"/>
      <c r="F276" s="1"/>
      <c r="G276" s="1"/>
    </row>
    <row r="277" spans="1:7" ht="12.5" x14ac:dyDescent="0.25">
      <c r="A277" s="1"/>
      <c r="B277" s="1"/>
      <c r="C277" s="1"/>
      <c r="D277" s="1"/>
      <c r="E277" s="1"/>
      <c r="F277" s="1"/>
      <c r="G277" s="1"/>
    </row>
    <row r="278" spans="1:7" ht="12.5" x14ac:dyDescent="0.25">
      <c r="A278" s="1"/>
      <c r="B278" s="1"/>
      <c r="C278" s="1"/>
      <c r="D278" s="1"/>
      <c r="E278" s="1"/>
      <c r="F278" s="1"/>
      <c r="G278" s="1"/>
    </row>
    <row r="279" spans="1:7" ht="12.5" x14ac:dyDescent="0.25">
      <c r="A279" s="1"/>
      <c r="B279" s="1"/>
      <c r="C279" s="1"/>
      <c r="D279" s="1"/>
      <c r="E279" s="1"/>
      <c r="F279" s="1"/>
      <c r="G279" s="1"/>
    </row>
    <row r="280" spans="1:7" ht="12.5" x14ac:dyDescent="0.25">
      <c r="A280" s="1"/>
      <c r="B280" s="1"/>
      <c r="C280" s="1"/>
      <c r="D280" s="1"/>
      <c r="E280" s="1"/>
      <c r="F280" s="1"/>
      <c r="G280" s="1"/>
    </row>
    <row r="281" spans="1:7" ht="12.5" x14ac:dyDescent="0.25">
      <c r="A281" s="1"/>
      <c r="B281" s="1"/>
      <c r="C281" s="1"/>
      <c r="D281" s="1"/>
      <c r="E281" s="1"/>
      <c r="F281" s="1"/>
      <c r="G281" s="1"/>
    </row>
    <row r="282" spans="1:7" ht="12.5" x14ac:dyDescent="0.25">
      <c r="A282" s="1"/>
      <c r="B282" s="1"/>
      <c r="C282" s="1"/>
      <c r="D282" s="1"/>
      <c r="E282" s="1"/>
      <c r="F282" s="1"/>
      <c r="G282" s="1"/>
    </row>
    <row r="283" spans="1:7" ht="12.5" x14ac:dyDescent="0.25">
      <c r="A283" s="1"/>
      <c r="B283" s="1"/>
      <c r="C283" s="1"/>
      <c r="D283" s="1"/>
      <c r="E283" s="1"/>
      <c r="F283" s="1"/>
      <c r="G283" s="1"/>
    </row>
    <row r="284" spans="1:7" ht="12.5" x14ac:dyDescent="0.25">
      <c r="A284" s="1"/>
      <c r="B284" s="1"/>
      <c r="C284" s="1"/>
      <c r="D284" s="1"/>
      <c r="E284" s="1"/>
      <c r="F284" s="1"/>
      <c r="G284" s="1"/>
    </row>
    <row r="285" spans="1:7" ht="12.5" x14ac:dyDescent="0.25">
      <c r="A285" s="1"/>
      <c r="B285" s="1"/>
      <c r="C285" s="1"/>
      <c r="D285" s="1"/>
      <c r="E285" s="1"/>
      <c r="F285" s="1"/>
      <c r="G285" s="1"/>
    </row>
    <row r="286" spans="1:7" ht="12.5" x14ac:dyDescent="0.25">
      <c r="A286" s="1"/>
      <c r="B286" s="1"/>
      <c r="C286" s="1"/>
      <c r="D286" s="1"/>
      <c r="E286" s="1"/>
      <c r="F286" s="1"/>
      <c r="G286" s="1"/>
    </row>
    <row r="287" spans="1:7" ht="12.5" x14ac:dyDescent="0.25">
      <c r="A287" s="1"/>
      <c r="B287" s="1"/>
      <c r="C287" s="1"/>
      <c r="D287" s="1"/>
      <c r="E287" s="1"/>
      <c r="F287" s="1"/>
      <c r="G287" s="1"/>
    </row>
    <row r="288" spans="1:7" ht="12.5" x14ac:dyDescent="0.25">
      <c r="A288" s="1"/>
      <c r="B288" s="1"/>
      <c r="C288" s="1"/>
      <c r="D288" s="1"/>
      <c r="E288" s="1"/>
      <c r="F288" s="1"/>
      <c r="G288" s="1"/>
    </row>
    <row r="289" spans="1:7" ht="12.5" x14ac:dyDescent="0.25">
      <c r="A289" s="1"/>
      <c r="B289" s="1"/>
      <c r="C289" s="1"/>
      <c r="D289" s="1"/>
      <c r="E289" s="1"/>
      <c r="F289" s="1"/>
      <c r="G289" s="1"/>
    </row>
    <row r="290" spans="1:7" ht="12.5" x14ac:dyDescent="0.25">
      <c r="A290" s="1"/>
      <c r="B290" s="1"/>
      <c r="C290" s="1"/>
      <c r="D290" s="1"/>
      <c r="E290" s="1"/>
      <c r="F290" s="1"/>
      <c r="G290" s="1"/>
    </row>
    <row r="291" spans="1:7" ht="12.5" x14ac:dyDescent="0.25">
      <c r="A291" s="1"/>
      <c r="B291" s="1"/>
      <c r="C291" s="1"/>
      <c r="D291" s="1"/>
      <c r="E291" s="1"/>
      <c r="F291" s="1"/>
      <c r="G291" s="1"/>
    </row>
    <row r="292" spans="1:7" ht="12.5" x14ac:dyDescent="0.25">
      <c r="A292" s="1"/>
      <c r="B292" s="1"/>
      <c r="C292" s="1"/>
      <c r="D292" s="1"/>
      <c r="E292" s="1"/>
      <c r="F292" s="1"/>
      <c r="G292" s="1"/>
    </row>
    <row r="293" spans="1:7" ht="12.5" x14ac:dyDescent="0.25">
      <c r="A293" s="1"/>
      <c r="B293" s="1"/>
      <c r="C293" s="1"/>
      <c r="D293" s="1"/>
      <c r="E293" s="1"/>
      <c r="F293" s="1"/>
      <c r="G293" s="1"/>
    </row>
    <row r="294" spans="1:7" ht="12.5" x14ac:dyDescent="0.25">
      <c r="A294" s="1"/>
      <c r="B294" s="1"/>
      <c r="C294" s="1"/>
      <c r="D294" s="1"/>
      <c r="E294" s="1"/>
      <c r="F294" s="1"/>
      <c r="G294" s="1"/>
    </row>
    <row r="295" spans="1:7" ht="12.5" x14ac:dyDescent="0.25">
      <c r="A295" s="1"/>
      <c r="B295" s="1"/>
      <c r="C295" s="1"/>
      <c r="D295" s="1"/>
      <c r="E295" s="1"/>
      <c r="F295" s="1"/>
      <c r="G295" s="1"/>
    </row>
    <row r="296" spans="1:7" ht="12.5" x14ac:dyDescent="0.25">
      <c r="A296" s="1"/>
      <c r="B296" s="1"/>
      <c r="C296" s="1"/>
      <c r="D296" s="1"/>
      <c r="E296" s="1"/>
      <c r="F296" s="1"/>
      <c r="G296" s="1"/>
    </row>
    <row r="297" spans="1:7" ht="12.5" x14ac:dyDescent="0.25">
      <c r="A297" s="1"/>
      <c r="B297" s="1"/>
      <c r="C297" s="1"/>
      <c r="D297" s="1"/>
      <c r="E297" s="1"/>
      <c r="F297" s="1"/>
      <c r="G297" s="1"/>
    </row>
    <row r="298" spans="1:7" ht="12.5" x14ac:dyDescent="0.25">
      <c r="A298" s="1"/>
      <c r="B298" s="1"/>
      <c r="C298" s="1"/>
      <c r="D298" s="1"/>
      <c r="E298" s="1"/>
      <c r="F298" s="1"/>
      <c r="G298" s="1"/>
    </row>
    <row r="299" spans="1:7" ht="12.5" x14ac:dyDescent="0.25">
      <c r="A299" s="1"/>
      <c r="B299" s="1"/>
      <c r="C299" s="1"/>
      <c r="D299" s="1"/>
      <c r="E299" s="1"/>
      <c r="F299" s="1"/>
      <c r="G299" s="1"/>
    </row>
    <row r="300" spans="1:7" ht="12.5" x14ac:dyDescent="0.25">
      <c r="A300" s="1"/>
      <c r="B300" s="1"/>
      <c r="C300" s="1"/>
      <c r="D300" s="1"/>
      <c r="E300" s="1"/>
      <c r="F300" s="1"/>
      <c r="G300" s="1"/>
    </row>
    <row r="301" spans="1:7" ht="12.5" x14ac:dyDescent="0.25">
      <c r="A301" s="1"/>
      <c r="B301" s="1"/>
      <c r="C301" s="1"/>
      <c r="D301" s="1"/>
      <c r="E301" s="1"/>
      <c r="F301" s="1"/>
      <c r="G301" s="1"/>
    </row>
    <row r="302" spans="1:7" ht="12.5" x14ac:dyDescent="0.25">
      <c r="A302" s="1"/>
      <c r="B302" s="1"/>
      <c r="C302" s="1"/>
      <c r="D302" s="1"/>
      <c r="E302" s="1"/>
      <c r="F302" s="1"/>
      <c r="G302" s="1"/>
    </row>
    <row r="303" spans="1:7" ht="12.5" x14ac:dyDescent="0.25">
      <c r="A303" s="1"/>
      <c r="B303" s="1"/>
      <c r="C303" s="1"/>
      <c r="D303" s="1"/>
      <c r="E303" s="1"/>
      <c r="F303" s="1"/>
      <c r="G303" s="1"/>
    </row>
    <row r="304" spans="1:7" ht="12.5" x14ac:dyDescent="0.25">
      <c r="A304" s="1"/>
      <c r="B304" s="1"/>
      <c r="C304" s="1"/>
      <c r="D304" s="1"/>
      <c r="E304" s="1"/>
      <c r="F304" s="1"/>
      <c r="G304" s="1"/>
    </row>
    <row r="305" spans="1:7" ht="12.5" x14ac:dyDescent="0.25">
      <c r="A305" s="1"/>
      <c r="B305" s="1"/>
      <c r="C305" s="1"/>
      <c r="D305" s="1"/>
      <c r="E305" s="1"/>
      <c r="F305" s="1"/>
      <c r="G305" s="1"/>
    </row>
    <row r="306" spans="1:7" ht="12.5" x14ac:dyDescent="0.25">
      <c r="A306" s="1"/>
      <c r="B306" s="1"/>
      <c r="C306" s="1"/>
      <c r="D306" s="1"/>
      <c r="E306" s="1"/>
      <c r="F306" s="1"/>
      <c r="G306" s="1"/>
    </row>
    <row r="307" spans="1:7" ht="12.5" x14ac:dyDescent="0.25">
      <c r="A307" s="1"/>
      <c r="B307" s="1"/>
      <c r="C307" s="1"/>
      <c r="D307" s="1"/>
      <c r="E307" s="1"/>
      <c r="F307" s="1"/>
      <c r="G307" s="1"/>
    </row>
    <row r="308" spans="1:7" ht="12.5" x14ac:dyDescent="0.25">
      <c r="A308" s="1"/>
      <c r="B308" s="1"/>
      <c r="C308" s="1"/>
      <c r="D308" s="1"/>
      <c r="E308" s="1"/>
      <c r="F308" s="1"/>
      <c r="G308" s="1"/>
    </row>
    <row r="309" spans="1:7" ht="12.5" x14ac:dyDescent="0.25">
      <c r="A309" s="1"/>
      <c r="B309" s="1"/>
      <c r="C309" s="1"/>
      <c r="D309" s="1"/>
      <c r="E309" s="1"/>
      <c r="F309" s="1"/>
      <c r="G309" s="1"/>
    </row>
    <row r="310" spans="1:7" ht="12.5" x14ac:dyDescent="0.25">
      <c r="A310" s="1"/>
      <c r="B310" s="1"/>
      <c r="C310" s="1"/>
      <c r="D310" s="1"/>
      <c r="E310" s="1"/>
      <c r="F310" s="1"/>
      <c r="G310" s="1"/>
    </row>
    <row r="311" spans="1:7" ht="12.5" x14ac:dyDescent="0.25">
      <c r="A311" s="1"/>
      <c r="B311" s="1"/>
      <c r="C311" s="1"/>
      <c r="D311" s="1"/>
      <c r="E311" s="1"/>
      <c r="F311" s="1"/>
      <c r="G311" s="1"/>
    </row>
    <row r="312" spans="1:7" ht="12.5" x14ac:dyDescent="0.25">
      <c r="A312" s="1"/>
      <c r="B312" s="1"/>
      <c r="C312" s="1"/>
      <c r="D312" s="1"/>
      <c r="E312" s="1"/>
      <c r="F312" s="1"/>
      <c r="G312" s="1"/>
    </row>
    <row r="313" spans="1:7" ht="12.5" x14ac:dyDescent="0.25">
      <c r="A313" s="1"/>
      <c r="B313" s="1"/>
      <c r="C313" s="1"/>
      <c r="D313" s="1"/>
      <c r="E313" s="1"/>
      <c r="F313" s="1"/>
      <c r="G313" s="1"/>
    </row>
    <row r="314" spans="1:7" ht="12.5" x14ac:dyDescent="0.25">
      <c r="A314" s="1"/>
      <c r="B314" s="1"/>
      <c r="C314" s="1"/>
      <c r="D314" s="1"/>
      <c r="E314" s="1"/>
      <c r="F314" s="1"/>
      <c r="G314" s="1"/>
    </row>
    <row r="315" spans="1:7" ht="12.5" x14ac:dyDescent="0.25">
      <c r="A315" s="1"/>
      <c r="B315" s="1"/>
      <c r="C315" s="1"/>
      <c r="D315" s="1"/>
      <c r="E315" s="1"/>
      <c r="F315" s="1"/>
      <c r="G315" s="1"/>
    </row>
    <row r="316" spans="1:7" ht="12.5" x14ac:dyDescent="0.25">
      <c r="A316" s="1"/>
      <c r="B316" s="1"/>
      <c r="C316" s="1"/>
      <c r="D316" s="1"/>
      <c r="E316" s="1"/>
      <c r="F316" s="1"/>
      <c r="G316" s="1"/>
    </row>
    <row r="317" spans="1:7" ht="12.5" x14ac:dyDescent="0.25">
      <c r="A317" s="1"/>
      <c r="B317" s="1"/>
      <c r="C317" s="1"/>
      <c r="D317" s="1"/>
      <c r="E317" s="1"/>
      <c r="F317" s="1"/>
      <c r="G317" s="1"/>
    </row>
    <row r="318" spans="1:7" ht="12.5" x14ac:dyDescent="0.25">
      <c r="A318" s="1"/>
      <c r="B318" s="1"/>
      <c r="C318" s="1"/>
      <c r="D318" s="1"/>
      <c r="E318" s="1"/>
      <c r="F318" s="1"/>
      <c r="G318" s="1"/>
    </row>
    <row r="319" spans="1:7" ht="12.5" x14ac:dyDescent="0.25">
      <c r="A319" s="1"/>
      <c r="B319" s="1"/>
      <c r="C319" s="1"/>
      <c r="D319" s="1"/>
      <c r="E319" s="1"/>
      <c r="F319" s="1"/>
      <c r="G319" s="1"/>
    </row>
    <row r="320" spans="1:7" ht="12.5" x14ac:dyDescent="0.25">
      <c r="A320" s="1"/>
      <c r="B320" s="1"/>
      <c r="C320" s="1"/>
      <c r="D320" s="1"/>
      <c r="E320" s="1"/>
      <c r="F320" s="1"/>
      <c r="G320" s="1"/>
    </row>
    <row r="321" spans="1:7" ht="12.5" x14ac:dyDescent="0.25">
      <c r="A321" s="1"/>
      <c r="B321" s="1"/>
      <c r="C321" s="1"/>
      <c r="D321" s="1"/>
      <c r="E321" s="1"/>
      <c r="F321" s="1"/>
      <c r="G321" s="1"/>
    </row>
    <row r="322" spans="1:7" ht="12.5" x14ac:dyDescent="0.25">
      <c r="A322" s="1"/>
      <c r="B322" s="1"/>
      <c r="C322" s="1"/>
      <c r="D322" s="1"/>
      <c r="E322" s="1"/>
      <c r="F322" s="1"/>
      <c r="G322" s="1"/>
    </row>
    <row r="323" spans="1:7" ht="12.5" x14ac:dyDescent="0.25">
      <c r="A323" s="1"/>
      <c r="B323" s="1"/>
      <c r="C323" s="1"/>
      <c r="D323" s="1"/>
      <c r="E323" s="1"/>
      <c r="F323" s="1"/>
      <c r="G323" s="1"/>
    </row>
    <row r="324" spans="1:7" ht="12.5" x14ac:dyDescent="0.25">
      <c r="A324" s="1"/>
      <c r="B324" s="1"/>
      <c r="C324" s="1"/>
      <c r="D324" s="1"/>
      <c r="E324" s="1"/>
      <c r="F324" s="1"/>
      <c r="G324" s="1"/>
    </row>
    <row r="325" spans="1:7" ht="12.5" x14ac:dyDescent="0.25">
      <c r="A325" s="1"/>
      <c r="B325" s="1"/>
      <c r="C325" s="1"/>
      <c r="D325" s="1"/>
      <c r="E325" s="1"/>
      <c r="F325" s="1"/>
      <c r="G325" s="1"/>
    </row>
    <row r="326" spans="1:7" ht="12.5" x14ac:dyDescent="0.25">
      <c r="A326" s="1"/>
      <c r="B326" s="1"/>
      <c r="C326" s="1"/>
      <c r="D326" s="1"/>
      <c r="E326" s="1"/>
      <c r="F326" s="1"/>
      <c r="G326" s="1"/>
    </row>
    <row r="327" spans="1:7" ht="12.5" x14ac:dyDescent="0.25">
      <c r="A327" s="1"/>
      <c r="B327" s="1"/>
      <c r="C327" s="1"/>
      <c r="D327" s="1"/>
      <c r="E327" s="1"/>
      <c r="F327" s="1"/>
      <c r="G327" s="1"/>
    </row>
    <row r="328" spans="1:7" ht="12.5" x14ac:dyDescent="0.25">
      <c r="A328" s="1"/>
      <c r="B328" s="1"/>
      <c r="C328" s="1"/>
      <c r="D328" s="1"/>
      <c r="E328" s="1"/>
      <c r="F328" s="1"/>
      <c r="G328" s="1"/>
    </row>
    <row r="329" spans="1:7" ht="12.5" x14ac:dyDescent="0.25">
      <c r="A329" s="1"/>
      <c r="B329" s="1"/>
      <c r="C329" s="1"/>
      <c r="D329" s="1"/>
      <c r="E329" s="1"/>
      <c r="F329" s="1"/>
      <c r="G329" s="1"/>
    </row>
    <row r="330" spans="1:7" ht="12.5" x14ac:dyDescent="0.25">
      <c r="A330" s="1"/>
      <c r="B330" s="1"/>
      <c r="C330" s="1"/>
      <c r="D330" s="1"/>
      <c r="E330" s="1"/>
      <c r="F330" s="1"/>
      <c r="G330" s="1"/>
    </row>
    <row r="331" spans="1:7" ht="12.5" x14ac:dyDescent="0.25">
      <c r="A331" s="1"/>
      <c r="B331" s="1"/>
      <c r="C331" s="1"/>
      <c r="D331" s="1"/>
      <c r="E331" s="1"/>
      <c r="F331" s="1"/>
      <c r="G331" s="1"/>
    </row>
    <row r="332" spans="1:7" ht="12.5" x14ac:dyDescent="0.25">
      <c r="A332" s="1"/>
      <c r="B332" s="1"/>
      <c r="C332" s="1"/>
      <c r="D332" s="1"/>
      <c r="E332" s="1"/>
      <c r="F332" s="1"/>
      <c r="G332" s="1"/>
    </row>
    <row r="333" spans="1:7" ht="12.5" x14ac:dyDescent="0.25">
      <c r="A333" s="1"/>
      <c r="B333" s="1"/>
      <c r="C333" s="1"/>
      <c r="D333" s="1"/>
      <c r="E333" s="1"/>
      <c r="F333" s="1"/>
      <c r="G333" s="1"/>
    </row>
    <row r="334" spans="1:7" ht="12.5" x14ac:dyDescent="0.25">
      <c r="A334" s="1"/>
      <c r="B334" s="1"/>
      <c r="C334" s="1"/>
      <c r="D334" s="1"/>
      <c r="E334" s="1"/>
      <c r="F334" s="1"/>
      <c r="G334" s="1"/>
    </row>
    <row r="335" spans="1:7" ht="12.5" x14ac:dyDescent="0.25">
      <c r="A335" s="1"/>
      <c r="B335" s="1"/>
      <c r="C335" s="1"/>
      <c r="D335" s="1"/>
      <c r="E335" s="1"/>
      <c r="F335" s="1"/>
      <c r="G335" s="1"/>
    </row>
    <row r="336" spans="1:7" ht="12.5" x14ac:dyDescent="0.25">
      <c r="A336" s="1"/>
      <c r="B336" s="1"/>
      <c r="C336" s="1"/>
      <c r="D336" s="1"/>
      <c r="E336" s="1"/>
      <c r="F336" s="1"/>
      <c r="G336" s="1"/>
    </row>
    <row r="337" spans="1:7" ht="12.5" x14ac:dyDescent="0.25">
      <c r="A337" s="1"/>
      <c r="B337" s="1"/>
      <c r="C337" s="1"/>
      <c r="D337" s="1"/>
      <c r="E337" s="1"/>
      <c r="F337" s="1"/>
      <c r="G337" s="1"/>
    </row>
    <row r="338" spans="1:7" ht="12.5" x14ac:dyDescent="0.25">
      <c r="A338" s="1"/>
      <c r="B338" s="1"/>
      <c r="C338" s="1"/>
      <c r="D338" s="1"/>
      <c r="E338" s="1"/>
      <c r="F338" s="1"/>
      <c r="G338" s="1"/>
    </row>
    <row r="339" spans="1:7" ht="12.5" x14ac:dyDescent="0.25">
      <c r="A339" s="1"/>
      <c r="B339" s="1"/>
      <c r="C339" s="1"/>
      <c r="D339" s="1"/>
      <c r="E339" s="1"/>
      <c r="F339" s="1"/>
      <c r="G339" s="1"/>
    </row>
    <row r="340" spans="1:7" ht="12.5" x14ac:dyDescent="0.25">
      <c r="A340" s="1"/>
      <c r="B340" s="1"/>
      <c r="C340" s="1"/>
      <c r="D340" s="1"/>
      <c r="E340" s="1"/>
      <c r="F340" s="1"/>
      <c r="G340" s="1"/>
    </row>
    <row r="341" spans="1:7" ht="12.5" x14ac:dyDescent="0.25">
      <c r="A341" s="1"/>
      <c r="B341" s="1"/>
      <c r="C341" s="1"/>
      <c r="D341" s="1"/>
      <c r="E341" s="1"/>
      <c r="F341" s="1"/>
      <c r="G341" s="1"/>
    </row>
    <row r="342" spans="1:7" ht="12.5" x14ac:dyDescent="0.25">
      <c r="A342" s="1"/>
      <c r="B342" s="1"/>
      <c r="C342" s="1"/>
      <c r="D342" s="1"/>
      <c r="E342" s="1"/>
      <c r="F342" s="1"/>
      <c r="G342" s="1"/>
    </row>
    <row r="343" spans="1:7" ht="12.5" x14ac:dyDescent="0.25">
      <c r="A343" s="1"/>
      <c r="B343" s="1"/>
      <c r="C343" s="1"/>
      <c r="D343" s="1"/>
      <c r="E343" s="1"/>
      <c r="F343" s="1"/>
      <c r="G343" s="1"/>
    </row>
    <row r="344" spans="1:7" ht="12.5" x14ac:dyDescent="0.25">
      <c r="A344" s="1"/>
      <c r="B344" s="1"/>
      <c r="C344" s="1"/>
      <c r="D344" s="1"/>
      <c r="E344" s="1"/>
      <c r="F344" s="1"/>
      <c r="G344" s="1"/>
    </row>
    <row r="345" spans="1:7" ht="12.5" x14ac:dyDescent="0.25">
      <c r="A345" s="1"/>
      <c r="B345" s="1"/>
      <c r="C345" s="1"/>
      <c r="D345" s="1"/>
      <c r="E345" s="1"/>
      <c r="F345" s="1"/>
      <c r="G345" s="1"/>
    </row>
    <row r="346" spans="1:7" ht="12.5" x14ac:dyDescent="0.25">
      <c r="A346" s="1"/>
      <c r="B346" s="1"/>
      <c r="C346" s="1"/>
      <c r="D346" s="1"/>
      <c r="E346" s="1"/>
      <c r="F346" s="1"/>
      <c r="G346" s="1"/>
    </row>
    <row r="347" spans="1:7" ht="12.5" x14ac:dyDescent="0.25">
      <c r="A347" s="1"/>
      <c r="B347" s="1"/>
      <c r="C347" s="1"/>
      <c r="D347" s="1"/>
      <c r="E347" s="1"/>
      <c r="F347" s="1"/>
      <c r="G347" s="1"/>
    </row>
    <row r="348" spans="1:7" ht="12.5" x14ac:dyDescent="0.25">
      <c r="A348" s="1"/>
      <c r="B348" s="1"/>
      <c r="C348" s="1"/>
      <c r="D348" s="1"/>
      <c r="E348" s="1"/>
      <c r="F348" s="1"/>
      <c r="G348" s="1"/>
    </row>
    <row r="349" spans="1:7" ht="12.5" x14ac:dyDescent="0.25">
      <c r="A349" s="1"/>
      <c r="B349" s="1"/>
      <c r="C349" s="1"/>
      <c r="D349" s="1"/>
      <c r="E349" s="1"/>
      <c r="F349" s="1"/>
      <c r="G349" s="1"/>
    </row>
    <row r="350" spans="1:7" ht="12.5" x14ac:dyDescent="0.25">
      <c r="A350" s="1"/>
      <c r="B350" s="1"/>
      <c r="C350" s="1"/>
      <c r="D350" s="1"/>
      <c r="E350" s="1"/>
      <c r="F350" s="1"/>
      <c r="G350" s="1"/>
    </row>
    <row r="351" spans="1:7" ht="12.5" x14ac:dyDescent="0.25">
      <c r="A351" s="1"/>
      <c r="B351" s="1"/>
      <c r="C351" s="1"/>
      <c r="D351" s="1"/>
      <c r="E351" s="1"/>
      <c r="F351" s="1"/>
      <c r="G351" s="1"/>
    </row>
    <row r="352" spans="1:7" ht="12.5" x14ac:dyDescent="0.25">
      <c r="A352" s="1"/>
      <c r="B352" s="1"/>
      <c r="C352" s="1"/>
      <c r="D352" s="1"/>
      <c r="E352" s="1"/>
      <c r="F352" s="1"/>
      <c r="G352" s="1"/>
    </row>
    <row r="353" spans="1:7" ht="12.5" x14ac:dyDescent="0.25">
      <c r="A353" s="1"/>
      <c r="B353" s="1"/>
      <c r="C353" s="1"/>
      <c r="D353" s="1"/>
      <c r="E353" s="1"/>
      <c r="F353" s="1"/>
      <c r="G353" s="1"/>
    </row>
    <row r="354" spans="1:7" ht="12.5" x14ac:dyDescent="0.25">
      <c r="A354" s="1"/>
      <c r="B354" s="1"/>
      <c r="C354" s="1"/>
      <c r="D354" s="1"/>
      <c r="E354" s="1"/>
      <c r="F354" s="1"/>
      <c r="G354" s="1"/>
    </row>
    <row r="355" spans="1:7" ht="12.5" x14ac:dyDescent="0.25">
      <c r="A355" s="1"/>
      <c r="B355" s="1"/>
      <c r="C355" s="1"/>
      <c r="D355" s="1"/>
      <c r="E355" s="1"/>
      <c r="F355" s="1"/>
      <c r="G355" s="1"/>
    </row>
    <row r="356" spans="1:7" ht="12.5" x14ac:dyDescent="0.25">
      <c r="A356" s="1"/>
      <c r="B356" s="1"/>
      <c r="C356" s="1"/>
      <c r="D356" s="1"/>
      <c r="E356" s="1"/>
      <c r="F356" s="1"/>
      <c r="G356" s="1"/>
    </row>
    <row r="357" spans="1:7" ht="12.5" x14ac:dyDescent="0.25">
      <c r="A357" s="1"/>
      <c r="B357" s="1"/>
      <c r="C357" s="1"/>
      <c r="D357" s="1"/>
      <c r="E357" s="1"/>
      <c r="F357" s="1"/>
      <c r="G357" s="1"/>
    </row>
    <row r="358" spans="1:7" ht="12.5" x14ac:dyDescent="0.25">
      <c r="A358" s="1"/>
      <c r="B358" s="1"/>
      <c r="C358" s="1"/>
      <c r="D358" s="1"/>
      <c r="E358" s="1"/>
      <c r="F358" s="1"/>
      <c r="G358" s="1"/>
    </row>
    <row r="359" spans="1:7" ht="12.5" x14ac:dyDescent="0.25">
      <c r="A359" s="1"/>
      <c r="B359" s="1"/>
      <c r="C359" s="1"/>
      <c r="D359" s="1"/>
      <c r="E359" s="1"/>
      <c r="F359" s="1"/>
      <c r="G359" s="1"/>
    </row>
    <row r="360" spans="1:7" ht="12.5" x14ac:dyDescent="0.25">
      <c r="A360" s="1"/>
      <c r="B360" s="1"/>
      <c r="C360" s="1"/>
      <c r="D360" s="1"/>
      <c r="E360" s="1"/>
      <c r="F360" s="1"/>
      <c r="G360" s="1"/>
    </row>
    <row r="361" spans="1:7" ht="12.5" x14ac:dyDescent="0.25">
      <c r="A361" s="1"/>
      <c r="B361" s="1"/>
      <c r="C361" s="1"/>
      <c r="D361" s="1"/>
      <c r="E361" s="1"/>
      <c r="F361" s="1"/>
      <c r="G361" s="1"/>
    </row>
    <row r="362" spans="1:7" ht="12.5" x14ac:dyDescent="0.25">
      <c r="A362" s="1"/>
      <c r="B362" s="1"/>
      <c r="C362" s="1"/>
      <c r="D362" s="1"/>
      <c r="E362" s="1"/>
      <c r="F362" s="1"/>
      <c r="G362" s="1"/>
    </row>
    <row r="363" spans="1:7" ht="12.5" x14ac:dyDescent="0.25">
      <c r="A363" s="1"/>
      <c r="B363" s="1"/>
      <c r="C363" s="1"/>
      <c r="D363" s="1"/>
      <c r="E363" s="1"/>
      <c r="F363" s="1"/>
      <c r="G363" s="1"/>
    </row>
    <row r="364" spans="1:7" ht="12.5" x14ac:dyDescent="0.25">
      <c r="A364" s="1"/>
      <c r="B364" s="1"/>
      <c r="C364" s="1"/>
      <c r="D364" s="1"/>
      <c r="E364" s="1"/>
      <c r="F364" s="1"/>
      <c r="G364" s="1"/>
    </row>
    <row r="365" spans="1:7" ht="12.5" x14ac:dyDescent="0.25">
      <c r="A365" s="1"/>
      <c r="B365" s="1"/>
      <c r="C365" s="1"/>
      <c r="D365" s="1"/>
      <c r="E365" s="1"/>
      <c r="F365" s="1"/>
      <c r="G365" s="1"/>
    </row>
    <row r="366" spans="1:7" ht="12.5" x14ac:dyDescent="0.25">
      <c r="A366" s="1"/>
      <c r="B366" s="1"/>
      <c r="C366" s="1"/>
      <c r="D366" s="1"/>
      <c r="E366" s="1"/>
      <c r="F366" s="1"/>
      <c r="G366" s="1"/>
    </row>
    <row r="367" spans="1:7" ht="12.5" x14ac:dyDescent="0.25">
      <c r="A367" s="1"/>
      <c r="B367" s="1"/>
      <c r="C367" s="1"/>
      <c r="D367" s="1"/>
      <c r="E367" s="1"/>
      <c r="F367" s="1"/>
      <c r="G367" s="1"/>
    </row>
    <row r="368" spans="1:7" ht="12.5" x14ac:dyDescent="0.25">
      <c r="A368" s="1"/>
      <c r="B368" s="1"/>
      <c r="C368" s="1"/>
      <c r="D368" s="1"/>
      <c r="E368" s="1"/>
      <c r="F368" s="1"/>
      <c r="G368" s="1"/>
    </row>
    <row r="369" spans="1:7" ht="12.5" x14ac:dyDescent="0.25">
      <c r="A369" s="1"/>
      <c r="B369" s="1"/>
      <c r="C369" s="1"/>
      <c r="D369" s="1"/>
      <c r="E369" s="1"/>
      <c r="F369" s="1"/>
      <c r="G369" s="1"/>
    </row>
    <row r="370" spans="1:7" ht="12.5" x14ac:dyDescent="0.25">
      <c r="A370" s="1"/>
      <c r="B370" s="1"/>
      <c r="C370" s="1"/>
      <c r="D370" s="1"/>
      <c r="E370" s="1"/>
      <c r="F370" s="1"/>
      <c r="G370" s="1"/>
    </row>
    <row r="371" spans="1:7" ht="12.5" x14ac:dyDescent="0.25">
      <c r="A371" s="1"/>
      <c r="B371" s="1"/>
      <c r="C371" s="1"/>
      <c r="D371" s="1"/>
      <c r="E371" s="1"/>
      <c r="F371" s="1"/>
      <c r="G371" s="1"/>
    </row>
    <row r="372" spans="1:7" ht="12.5" x14ac:dyDescent="0.25">
      <c r="A372" s="1"/>
      <c r="B372" s="1"/>
      <c r="C372" s="1"/>
      <c r="D372" s="1"/>
      <c r="E372" s="1"/>
      <c r="F372" s="1"/>
      <c r="G372" s="1"/>
    </row>
    <row r="373" spans="1:7" ht="12.5" x14ac:dyDescent="0.25">
      <c r="A373" s="1"/>
      <c r="B373" s="1"/>
      <c r="C373" s="1"/>
      <c r="D373" s="1"/>
      <c r="E373" s="1"/>
      <c r="F373" s="1"/>
      <c r="G373" s="1"/>
    </row>
    <row r="374" spans="1:7" ht="12.5" x14ac:dyDescent="0.25">
      <c r="A374" s="1"/>
      <c r="B374" s="1"/>
      <c r="C374" s="1"/>
      <c r="D374" s="1"/>
      <c r="E374" s="1"/>
      <c r="F374" s="1"/>
      <c r="G374" s="1"/>
    </row>
    <row r="375" spans="1:7" ht="12.5" x14ac:dyDescent="0.25">
      <c r="A375" s="1"/>
      <c r="B375" s="1"/>
      <c r="C375" s="1"/>
      <c r="D375" s="1"/>
      <c r="E375" s="1"/>
      <c r="F375" s="1"/>
      <c r="G375" s="1"/>
    </row>
    <row r="376" spans="1:7" ht="12.5" x14ac:dyDescent="0.25">
      <c r="A376" s="1"/>
      <c r="B376" s="1"/>
      <c r="C376" s="1"/>
      <c r="D376" s="1"/>
      <c r="E376" s="1"/>
      <c r="F376" s="1"/>
      <c r="G376" s="1"/>
    </row>
    <row r="377" spans="1:7" ht="12.5" x14ac:dyDescent="0.25">
      <c r="A377" s="1"/>
      <c r="B377" s="1"/>
      <c r="C377" s="1"/>
      <c r="D377" s="1"/>
      <c r="E377" s="1"/>
      <c r="F377" s="1"/>
      <c r="G377" s="1"/>
    </row>
    <row r="378" spans="1:7" ht="12.5" x14ac:dyDescent="0.25">
      <c r="A378" s="1"/>
      <c r="B378" s="1"/>
      <c r="C378" s="1"/>
      <c r="D378" s="1"/>
      <c r="E378" s="1"/>
      <c r="F378" s="1"/>
      <c r="G378" s="1"/>
    </row>
    <row r="379" spans="1:7" ht="12.5" x14ac:dyDescent="0.25">
      <c r="A379" s="1"/>
      <c r="B379" s="1"/>
      <c r="C379" s="1"/>
      <c r="D379" s="1"/>
      <c r="E379" s="1"/>
      <c r="F379" s="1"/>
      <c r="G379" s="1"/>
    </row>
    <row r="380" spans="1:7" ht="12.5" x14ac:dyDescent="0.25">
      <c r="A380" s="1"/>
      <c r="B380" s="1"/>
      <c r="C380" s="1"/>
      <c r="D380" s="1"/>
      <c r="E380" s="1"/>
      <c r="F380" s="1"/>
      <c r="G380" s="1"/>
    </row>
    <row r="381" spans="1:7" ht="12.5" x14ac:dyDescent="0.25">
      <c r="A381" s="1"/>
      <c r="B381" s="1"/>
      <c r="C381" s="1"/>
      <c r="D381" s="1"/>
      <c r="E381" s="1"/>
      <c r="F381" s="1"/>
      <c r="G381" s="1"/>
    </row>
    <row r="382" spans="1:7" ht="12.5" x14ac:dyDescent="0.25">
      <c r="A382" s="1"/>
      <c r="B382" s="1"/>
      <c r="C382" s="1"/>
      <c r="D382" s="1"/>
      <c r="E382" s="1"/>
      <c r="F382" s="1"/>
      <c r="G382" s="1"/>
    </row>
    <row r="383" spans="1:7" ht="12.5" x14ac:dyDescent="0.25">
      <c r="A383" s="1"/>
      <c r="B383" s="1"/>
      <c r="C383" s="1"/>
      <c r="D383" s="1"/>
      <c r="E383" s="1"/>
      <c r="F383" s="1"/>
      <c r="G383" s="1"/>
    </row>
    <row r="384" spans="1:7" ht="12.5" x14ac:dyDescent="0.25">
      <c r="A384" s="1"/>
      <c r="B384" s="1"/>
      <c r="C384" s="1"/>
      <c r="D384" s="1"/>
      <c r="E384" s="1"/>
      <c r="F384" s="1"/>
      <c r="G384" s="1"/>
    </row>
    <row r="385" spans="1:7" ht="12.5" x14ac:dyDescent="0.25">
      <c r="A385" s="1"/>
      <c r="B385" s="1"/>
      <c r="C385" s="1"/>
      <c r="D385" s="1"/>
      <c r="E385" s="1"/>
      <c r="F385" s="1"/>
      <c r="G385" s="1"/>
    </row>
    <row r="386" spans="1:7" ht="12.5" x14ac:dyDescent="0.25">
      <c r="A386" s="1"/>
      <c r="B386" s="1"/>
      <c r="C386" s="1"/>
      <c r="D386" s="1"/>
      <c r="E386" s="1"/>
      <c r="F386" s="1"/>
      <c r="G386" s="1"/>
    </row>
    <row r="387" spans="1:7" ht="12.5" x14ac:dyDescent="0.25">
      <c r="A387" s="1"/>
      <c r="B387" s="1"/>
      <c r="C387" s="1"/>
      <c r="D387" s="1"/>
      <c r="E387" s="1"/>
      <c r="F387" s="1"/>
      <c r="G387" s="1"/>
    </row>
    <row r="388" spans="1:7" ht="12.5" x14ac:dyDescent="0.25">
      <c r="A388" s="1"/>
      <c r="B388" s="1"/>
      <c r="C388" s="1"/>
      <c r="D388" s="1"/>
      <c r="E388" s="1"/>
      <c r="F388" s="1"/>
      <c r="G388" s="1"/>
    </row>
    <row r="389" spans="1:7" ht="12.5" x14ac:dyDescent="0.25">
      <c r="A389" s="1"/>
      <c r="B389" s="1"/>
      <c r="C389" s="1"/>
      <c r="D389" s="1"/>
      <c r="E389" s="1"/>
      <c r="F389" s="1"/>
      <c r="G389" s="1"/>
    </row>
    <row r="390" spans="1:7" ht="12.5" x14ac:dyDescent="0.25">
      <c r="A390" s="1"/>
      <c r="B390" s="1"/>
      <c r="C390" s="1"/>
      <c r="D390" s="1"/>
      <c r="E390" s="1"/>
      <c r="F390" s="1"/>
      <c r="G390" s="1"/>
    </row>
    <row r="391" spans="1:7" ht="12.5" x14ac:dyDescent="0.25">
      <c r="A391" s="1"/>
      <c r="B391" s="1"/>
      <c r="C391" s="1"/>
      <c r="D391" s="1"/>
      <c r="E391" s="1"/>
      <c r="F391" s="1"/>
      <c r="G391" s="1"/>
    </row>
    <row r="392" spans="1:7" ht="12.5" x14ac:dyDescent="0.25">
      <c r="A392" s="1"/>
      <c r="B392" s="1"/>
      <c r="C392" s="1"/>
      <c r="D392" s="1"/>
      <c r="E392" s="1"/>
      <c r="F392" s="1"/>
      <c r="G392" s="1"/>
    </row>
    <row r="393" spans="1:7" ht="12.5" x14ac:dyDescent="0.25">
      <c r="A393" s="1"/>
      <c r="B393" s="1"/>
      <c r="C393" s="1"/>
      <c r="D393" s="1"/>
      <c r="E393" s="1"/>
      <c r="F393" s="1"/>
      <c r="G393" s="1"/>
    </row>
    <row r="394" spans="1:7" ht="12.5" x14ac:dyDescent="0.25">
      <c r="A394" s="1"/>
      <c r="B394" s="1"/>
      <c r="C394" s="1"/>
      <c r="D394" s="1"/>
      <c r="E394" s="1"/>
      <c r="F394" s="1"/>
      <c r="G394" s="1"/>
    </row>
    <row r="395" spans="1:7" ht="12.5" x14ac:dyDescent="0.25">
      <c r="A395" s="1"/>
      <c r="B395" s="1"/>
      <c r="C395" s="1"/>
      <c r="D395" s="1"/>
      <c r="E395" s="1"/>
      <c r="F395" s="1"/>
      <c r="G395" s="1"/>
    </row>
    <row r="396" spans="1:7" ht="12.5" x14ac:dyDescent="0.25">
      <c r="A396" s="1"/>
      <c r="B396" s="1"/>
      <c r="C396" s="1"/>
      <c r="D396" s="1"/>
      <c r="E396" s="1"/>
      <c r="F396" s="1"/>
      <c r="G396" s="1"/>
    </row>
    <row r="397" spans="1:7" ht="12.5" x14ac:dyDescent="0.25">
      <c r="A397" s="1"/>
      <c r="B397" s="1"/>
      <c r="C397" s="1"/>
      <c r="D397" s="1"/>
      <c r="E397" s="1"/>
      <c r="F397" s="1"/>
      <c r="G397" s="1"/>
    </row>
    <row r="398" spans="1:7" ht="12.5" x14ac:dyDescent="0.25">
      <c r="A398" s="1"/>
      <c r="B398" s="1"/>
      <c r="C398" s="1"/>
      <c r="D398" s="1"/>
      <c r="E398" s="1"/>
      <c r="F398" s="1"/>
      <c r="G398" s="1"/>
    </row>
    <row r="399" spans="1:7" ht="12.5" x14ac:dyDescent="0.25">
      <c r="A399" s="1"/>
      <c r="B399" s="1"/>
      <c r="C399" s="1"/>
      <c r="D399" s="1"/>
      <c r="E399" s="1"/>
      <c r="F399" s="1"/>
      <c r="G399" s="1"/>
    </row>
    <row r="400" spans="1:7" ht="12.5" x14ac:dyDescent="0.25">
      <c r="A400" s="1"/>
      <c r="B400" s="1"/>
      <c r="C400" s="1"/>
      <c r="D400" s="1"/>
      <c r="E400" s="1"/>
      <c r="F400" s="1"/>
      <c r="G400" s="1"/>
    </row>
    <row r="401" spans="1:7" ht="12.5" x14ac:dyDescent="0.25">
      <c r="A401" s="1"/>
      <c r="B401" s="1"/>
      <c r="C401" s="1"/>
      <c r="D401" s="1"/>
      <c r="E401" s="1"/>
      <c r="F401" s="1"/>
      <c r="G401" s="1"/>
    </row>
    <row r="402" spans="1:7" ht="12.5" x14ac:dyDescent="0.25">
      <c r="A402" s="1"/>
      <c r="B402" s="1"/>
      <c r="C402" s="1"/>
      <c r="D402" s="1"/>
      <c r="E402" s="1"/>
      <c r="F402" s="1"/>
      <c r="G402" s="1"/>
    </row>
    <row r="403" spans="1:7" ht="12.5" x14ac:dyDescent="0.25">
      <c r="A403" s="1"/>
      <c r="B403" s="1"/>
      <c r="C403" s="1"/>
      <c r="D403" s="1"/>
      <c r="E403" s="1"/>
      <c r="F403" s="1"/>
      <c r="G403" s="1"/>
    </row>
    <row r="404" spans="1:7" ht="12.5" x14ac:dyDescent="0.25">
      <c r="A404" s="1"/>
      <c r="B404" s="1"/>
      <c r="C404" s="1"/>
      <c r="D404" s="1"/>
      <c r="E404" s="1"/>
      <c r="F404" s="1"/>
      <c r="G404" s="1"/>
    </row>
    <row r="405" spans="1:7" ht="12.5" x14ac:dyDescent="0.25">
      <c r="A405" s="1"/>
      <c r="B405" s="1"/>
      <c r="C405" s="1"/>
      <c r="D405" s="1"/>
      <c r="E405" s="1"/>
      <c r="F405" s="1"/>
      <c r="G405" s="1"/>
    </row>
    <row r="406" spans="1:7" ht="12.5" x14ac:dyDescent="0.25">
      <c r="A406" s="1"/>
      <c r="B406" s="1"/>
      <c r="C406" s="1"/>
      <c r="D406" s="1"/>
      <c r="E406" s="1"/>
      <c r="F406" s="1"/>
      <c r="G406" s="1"/>
    </row>
    <row r="407" spans="1:7" ht="12.5" x14ac:dyDescent="0.25">
      <c r="A407" s="1"/>
      <c r="B407" s="1"/>
      <c r="C407" s="1"/>
      <c r="D407" s="1"/>
      <c r="E407" s="1"/>
      <c r="F407" s="1"/>
      <c r="G407" s="1"/>
    </row>
    <row r="408" spans="1:7" ht="12.5" x14ac:dyDescent="0.25">
      <c r="A408" s="1"/>
      <c r="B408" s="1"/>
      <c r="C408" s="1"/>
      <c r="D408" s="1"/>
      <c r="E408" s="1"/>
      <c r="F408" s="1"/>
      <c r="G408" s="1"/>
    </row>
    <row r="409" spans="1:7" ht="12.5" x14ac:dyDescent="0.25">
      <c r="A409" s="1"/>
      <c r="B409" s="1"/>
      <c r="C409" s="1"/>
      <c r="D409" s="1"/>
      <c r="E409" s="1"/>
      <c r="F409" s="1"/>
      <c r="G409" s="1"/>
    </row>
    <row r="410" spans="1:7" ht="12.5" x14ac:dyDescent="0.25">
      <c r="A410" s="1"/>
      <c r="B410" s="1"/>
      <c r="C410" s="1"/>
      <c r="D410" s="1"/>
      <c r="E410" s="1"/>
      <c r="F410" s="1"/>
      <c r="G410" s="1"/>
    </row>
    <row r="411" spans="1:7" ht="12.5" x14ac:dyDescent="0.25">
      <c r="A411" s="1"/>
      <c r="B411" s="1"/>
      <c r="C411" s="1"/>
      <c r="D411" s="1"/>
      <c r="E411" s="1"/>
      <c r="F411" s="1"/>
      <c r="G411" s="1"/>
    </row>
    <row r="412" spans="1:7" ht="12.5" x14ac:dyDescent="0.25">
      <c r="A412" s="1"/>
      <c r="B412" s="1"/>
      <c r="C412" s="1"/>
      <c r="D412" s="1"/>
      <c r="E412" s="1"/>
      <c r="F412" s="1"/>
      <c r="G412" s="1"/>
    </row>
    <row r="413" spans="1:7" ht="12.5" x14ac:dyDescent="0.25">
      <c r="A413" s="1"/>
      <c r="B413" s="1"/>
      <c r="C413" s="1"/>
      <c r="D413" s="1"/>
      <c r="E413" s="1"/>
      <c r="F413" s="1"/>
      <c r="G413" s="1"/>
    </row>
    <row r="414" spans="1:7" ht="12.5" x14ac:dyDescent="0.25">
      <c r="A414" s="1"/>
      <c r="B414" s="1"/>
      <c r="C414" s="1"/>
      <c r="D414" s="1"/>
      <c r="E414" s="1"/>
      <c r="F414" s="1"/>
      <c r="G414" s="1"/>
    </row>
    <row r="415" spans="1:7" ht="12.5" x14ac:dyDescent="0.25">
      <c r="A415" s="1"/>
      <c r="B415" s="1"/>
      <c r="C415" s="1"/>
      <c r="D415" s="1"/>
      <c r="E415" s="1"/>
      <c r="F415" s="1"/>
      <c r="G415" s="1"/>
    </row>
    <row r="416" spans="1:7" ht="12.5" x14ac:dyDescent="0.25">
      <c r="A416" s="1"/>
      <c r="B416" s="1"/>
      <c r="C416" s="1"/>
      <c r="D416" s="1"/>
      <c r="E416" s="1"/>
      <c r="F416" s="1"/>
      <c r="G416" s="1"/>
    </row>
    <row r="417" spans="1:7" ht="12.5" x14ac:dyDescent="0.25">
      <c r="A417" s="1"/>
      <c r="B417" s="1"/>
      <c r="C417" s="1"/>
      <c r="D417" s="1"/>
      <c r="E417" s="1"/>
      <c r="F417" s="1"/>
      <c r="G417" s="1"/>
    </row>
    <row r="418" spans="1:7" ht="12.5" x14ac:dyDescent="0.25">
      <c r="A418" s="1"/>
      <c r="B418" s="1"/>
      <c r="C418" s="1"/>
      <c r="D418" s="1"/>
      <c r="E418" s="1"/>
      <c r="F418" s="1"/>
      <c r="G418" s="1"/>
    </row>
    <row r="419" spans="1:7" ht="12.5" x14ac:dyDescent="0.25">
      <c r="A419" s="1"/>
      <c r="B419" s="1"/>
      <c r="C419" s="1"/>
      <c r="D419" s="1"/>
      <c r="E419" s="1"/>
      <c r="F419" s="1"/>
      <c r="G419" s="1"/>
    </row>
    <row r="420" spans="1:7" ht="12.5" x14ac:dyDescent="0.25">
      <c r="A420" s="1"/>
      <c r="B420" s="1"/>
      <c r="C420" s="1"/>
      <c r="D420" s="1"/>
      <c r="E420" s="1"/>
      <c r="F420" s="1"/>
      <c r="G420" s="1"/>
    </row>
    <row r="421" spans="1:7" ht="12.5" x14ac:dyDescent="0.25">
      <c r="A421" s="1"/>
      <c r="B421" s="1"/>
      <c r="C421" s="1"/>
      <c r="D421" s="1"/>
      <c r="E421" s="1"/>
      <c r="F421" s="1"/>
      <c r="G421" s="1"/>
    </row>
    <row r="422" spans="1:7" ht="12.5" x14ac:dyDescent="0.25">
      <c r="A422" s="1"/>
      <c r="B422" s="1"/>
      <c r="C422" s="1"/>
      <c r="D422" s="1"/>
      <c r="E422" s="1"/>
      <c r="F422" s="1"/>
      <c r="G422" s="1"/>
    </row>
    <row r="423" spans="1:7" ht="12.5" x14ac:dyDescent="0.25">
      <c r="A423" s="1"/>
      <c r="B423" s="1"/>
      <c r="C423" s="1"/>
      <c r="D423" s="1"/>
      <c r="E423" s="1"/>
      <c r="F423" s="1"/>
      <c r="G423" s="1"/>
    </row>
    <row r="424" spans="1:7" ht="12.5" x14ac:dyDescent="0.25">
      <c r="A424" s="1"/>
      <c r="B424" s="1"/>
      <c r="C424" s="1"/>
      <c r="D424" s="1"/>
      <c r="E424" s="1"/>
      <c r="F424" s="1"/>
      <c r="G424" s="1"/>
    </row>
    <row r="425" spans="1:7" ht="12.5" x14ac:dyDescent="0.25">
      <c r="A425" s="1"/>
      <c r="B425" s="1"/>
      <c r="C425" s="1"/>
      <c r="D425" s="1"/>
      <c r="E425" s="1"/>
      <c r="F425" s="1"/>
      <c r="G425" s="1"/>
    </row>
    <row r="426" spans="1:7" ht="12.5" x14ac:dyDescent="0.25">
      <c r="A426" s="1"/>
      <c r="B426" s="1"/>
      <c r="C426" s="1"/>
      <c r="D426" s="1"/>
      <c r="E426" s="1"/>
      <c r="F426" s="1"/>
      <c r="G426" s="1"/>
    </row>
    <row r="427" spans="1:7" ht="12.5" x14ac:dyDescent="0.25">
      <c r="A427" s="1"/>
      <c r="B427" s="1"/>
      <c r="C427" s="1"/>
      <c r="D427" s="1"/>
      <c r="E427" s="1"/>
      <c r="F427" s="1"/>
      <c r="G427" s="1"/>
    </row>
    <row r="428" spans="1:7" ht="12.5" x14ac:dyDescent="0.25">
      <c r="A428" s="1"/>
      <c r="B428" s="1"/>
      <c r="C428" s="1"/>
      <c r="D428" s="1"/>
      <c r="E428" s="1"/>
      <c r="F428" s="1"/>
      <c r="G428" s="1"/>
    </row>
    <row r="429" spans="1:7" ht="12.5" x14ac:dyDescent="0.25">
      <c r="A429" s="1"/>
      <c r="B429" s="1"/>
      <c r="C429" s="1"/>
      <c r="D429" s="1"/>
      <c r="E429" s="1"/>
      <c r="F429" s="1"/>
      <c r="G429" s="1"/>
    </row>
    <row r="430" spans="1:7" ht="12.5" x14ac:dyDescent="0.25">
      <c r="A430" s="1"/>
      <c r="B430" s="1"/>
      <c r="C430" s="1"/>
      <c r="D430" s="1"/>
      <c r="E430" s="1"/>
      <c r="F430" s="1"/>
      <c r="G430" s="1"/>
    </row>
    <row r="431" spans="1:7" ht="12.5" x14ac:dyDescent="0.25">
      <c r="A431" s="1"/>
      <c r="B431" s="1"/>
      <c r="C431" s="1"/>
      <c r="D431" s="1"/>
      <c r="E431" s="1"/>
      <c r="F431" s="1"/>
      <c r="G431" s="1"/>
    </row>
    <row r="432" spans="1:7" ht="12.5" x14ac:dyDescent="0.25">
      <c r="A432" s="1"/>
      <c r="B432" s="1"/>
      <c r="C432" s="1"/>
      <c r="D432" s="1"/>
      <c r="E432" s="1"/>
      <c r="F432" s="1"/>
      <c r="G432" s="1"/>
    </row>
    <row r="433" spans="1:7" ht="12.5" x14ac:dyDescent="0.25">
      <c r="A433" s="1"/>
      <c r="B433" s="1"/>
      <c r="C433" s="1"/>
      <c r="D433" s="1"/>
      <c r="E433" s="1"/>
      <c r="F433" s="1"/>
      <c r="G433" s="1"/>
    </row>
    <row r="434" spans="1:7" ht="12.5" x14ac:dyDescent="0.25">
      <c r="A434" s="1"/>
      <c r="B434" s="1"/>
      <c r="C434" s="1"/>
      <c r="D434" s="1"/>
      <c r="E434" s="1"/>
      <c r="F434" s="1"/>
      <c r="G434" s="1"/>
    </row>
    <row r="435" spans="1:7" ht="12.5" x14ac:dyDescent="0.25">
      <c r="A435" s="1"/>
      <c r="B435" s="1"/>
      <c r="C435" s="1"/>
      <c r="D435" s="1"/>
      <c r="E435" s="1"/>
      <c r="F435" s="1"/>
      <c r="G435" s="1"/>
    </row>
    <row r="436" spans="1:7" ht="12.5" x14ac:dyDescent="0.25">
      <c r="A436" s="1"/>
      <c r="B436" s="1"/>
      <c r="C436" s="1"/>
      <c r="D436" s="1"/>
      <c r="E436" s="1"/>
      <c r="F436" s="1"/>
      <c r="G436" s="1"/>
    </row>
    <row r="437" spans="1:7" ht="12.5" x14ac:dyDescent="0.25">
      <c r="A437" s="1"/>
      <c r="B437" s="1"/>
      <c r="C437" s="1"/>
      <c r="D437" s="1"/>
      <c r="E437" s="1"/>
      <c r="F437" s="1"/>
      <c r="G437" s="1"/>
    </row>
    <row r="438" spans="1:7" ht="12.5" x14ac:dyDescent="0.25">
      <c r="A438" s="1"/>
      <c r="B438" s="1"/>
      <c r="C438" s="1"/>
      <c r="D438" s="1"/>
      <c r="E438" s="1"/>
      <c r="F438" s="1"/>
      <c r="G438" s="1"/>
    </row>
    <row r="439" spans="1:7" ht="12.5" x14ac:dyDescent="0.25">
      <c r="A439" s="1"/>
      <c r="B439" s="1"/>
      <c r="C439" s="1"/>
      <c r="D439" s="1"/>
      <c r="E439" s="1"/>
      <c r="F439" s="1"/>
      <c r="G439" s="1"/>
    </row>
    <row r="440" spans="1:7" ht="12.5" x14ac:dyDescent="0.25">
      <c r="A440" s="1"/>
      <c r="B440" s="1"/>
      <c r="C440" s="1"/>
      <c r="D440" s="1"/>
      <c r="E440" s="1"/>
      <c r="F440" s="1"/>
      <c r="G440" s="1"/>
    </row>
    <row r="441" spans="1:7" ht="12.5" x14ac:dyDescent="0.25">
      <c r="A441" s="1"/>
      <c r="B441" s="1"/>
      <c r="C441" s="1"/>
      <c r="D441" s="1"/>
      <c r="E441" s="1"/>
      <c r="F441" s="1"/>
      <c r="G441" s="1"/>
    </row>
    <row r="442" spans="1:7" ht="12.5" x14ac:dyDescent="0.25">
      <c r="A442" s="1"/>
      <c r="B442" s="1"/>
      <c r="C442" s="1"/>
      <c r="D442" s="1"/>
      <c r="E442" s="1"/>
      <c r="F442" s="1"/>
      <c r="G442" s="1"/>
    </row>
    <row r="443" spans="1:7" ht="12.5" x14ac:dyDescent="0.25">
      <c r="A443" s="1"/>
      <c r="B443" s="1"/>
      <c r="C443" s="1"/>
      <c r="D443" s="1"/>
      <c r="E443" s="1"/>
      <c r="F443" s="1"/>
      <c r="G443" s="1"/>
    </row>
    <row r="444" spans="1:7" ht="12.5" x14ac:dyDescent="0.25">
      <c r="A444" s="1"/>
      <c r="B444" s="1"/>
      <c r="C444" s="1"/>
      <c r="D444" s="1"/>
      <c r="E444" s="1"/>
      <c r="F444" s="1"/>
      <c r="G444" s="1"/>
    </row>
    <row r="445" spans="1:7" ht="12.5" x14ac:dyDescent="0.25">
      <c r="A445" s="1"/>
      <c r="B445" s="1"/>
      <c r="C445" s="1"/>
      <c r="D445" s="1"/>
      <c r="E445" s="1"/>
      <c r="F445" s="1"/>
      <c r="G445" s="1"/>
    </row>
    <row r="446" spans="1:7" ht="12.5" x14ac:dyDescent="0.25">
      <c r="A446" s="1"/>
      <c r="B446" s="1"/>
      <c r="C446" s="1"/>
      <c r="D446" s="1"/>
      <c r="E446" s="1"/>
      <c r="F446" s="1"/>
      <c r="G446" s="1"/>
    </row>
    <row r="447" spans="1:7" ht="12.5" x14ac:dyDescent="0.25">
      <c r="A447" s="1"/>
      <c r="B447" s="1"/>
      <c r="C447" s="1"/>
      <c r="D447" s="1"/>
      <c r="E447" s="1"/>
      <c r="F447" s="1"/>
      <c r="G447" s="1"/>
    </row>
    <row r="448" spans="1:7" ht="12.5" x14ac:dyDescent="0.25">
      <c r="A448" s="1"/>
      <c r="B448" s="1"/>
      <c r="C448" s="1"/>
      <c r="D448" s="1"/>
      <c r="E448" s="1"/>
      <c r="F448" s="1"/>
      <c r="G448" s="1"/>
    </row>
    <row r="449" spans="1:7" ht="12.5" x14ac:dyDescent="0.25">
      <c r="A449" s="1"/>
      <c r="B449" s="1"/>
      <c r="C449" s="1"/>
      <c r="D449" s="1"/>
      <c r="E449" s="1"/>
      <c r="F449" s="1"/>
      <c r="G449" s="1"/>
    </row>
    <row r="450" spans="1:7" ht="12.5" x14ac:dyDescent="0.25">
      <c r="A450" s="1"/>
      <c r="B450" s="1"/>
      <c r="C450" s="1"/>
      <c r="D450" s="1"/>
      <c r="E450" s="1"/>
      <c r="F450" s="1"/>
      <c r="G450" s="1"/>
    </row>
    <row r="451" spans="1:7" ht="12.5" x14ac:dyDescent="0.25">
      <c r="A451" s="1"/>
      <c r="B451" s="1"/>
      <c r="C451" s="1"/>
      <c r="D451" s="1"/>
      <c r="E451" s="1"/>
      <c r="F451" s="1"/>
      <c r="G451" s="1"/>
    </row>
    <row r="452" spans="1:7" ht="12.5" x14ac:dyDescent="0.25">
      <c r="A452" s="1"/>
      <c r="B452" s="1"/>
      <c r="C452" s="1"/>
      <c r="D452" s="1"/>
      <c r="E452" s="1"/>
      <c r="F452" s="1"/>
      <c r="G452" s="1"/>
    </row>
    <row r="453" spans="1:7" ht="12.5" x14ac:dyDescent="0.25">
      <c r="A453" s="1"/>
      <c r="B453" s="1"/>
      <c r="C453" s="1"/>
      <c r="D453" s="1"/>
      <c r="E453" s="1"/>
      <c r="F453" s="1"/>
      <c r="G453" s="1"/>
    </row>
    <row r="454" spans="1:7" ht="12.5" x14ac:dyDescent="0.25">
      <c r="A454" s="1"/>
      <c r="B454" s="1"/>
      <c r="C454" s="1"/>
      <c r="D454" s="1"/>
      <c r="E454" s="1"/>
      <c r="F454" s="1"/>
      <c r="G454" s="1"/>
    </row>
    <row r="455" spans="1:7" ht="12.5" x14ac:dyDescent="0.25">
      <c r="A455" s="1"/>
      <c r="B455" s="1"/>
      <c r="C455" s="1"/>
      <c r="D455" s="1"/>
      <c r="E455" s="1"/>
      <c r="F455" s="1"/>
      <c r="G455" s="1"/>
    </row>
    <row r="456" spans="1:7" ht="12.5" x14ac:dyDescent="0.25">
      <c r="A456" s="1"/>
      <c r="B456" s="1"/>
      <c r="C456" s="1"/>
      <c r="D456" s="1"/>
      <c r="E456" s="1"/>
      <c r="F456" s="1"/>
      <c r="G456" s="1"/>
    </row>
    <row r="457" spans="1:7" ht="12.5" x14ac:dyDescent="0.25">
      <c r="A457" s="1"/>
      <c r="B457" s="1"/>
      <c r="C457" s="1"/>
      <c r="D457" s="1"/>
      <c r="E457" s="1"/>
      <c r="F457" s="1"/>
      <c r="G457" s="1"/>
    </row>
    <row r="458" spans="1:7" ht="12.5" x14ac:dyDescent="0.25">
      <c r="A458" s="1"/>
      <c r="B458" s="1"/>
      <c r="C458" s="1"/>
      <c r="D458" s="1"/>
      <c r="E458" s="1"/>
      <c r="F458" s="1"/>
      <c r="G458" s="1"/>
    </row>
    <row r="459" spans="1:7" ht="12.5" x14ac:dyDescent="0.25">
      <c r="A459" s="1"/>
      <c r="B459" s="1"/>
      <c r="C459" s="1"/>
      <c r="D459" s="1"/>
      <c r="E459" s="1"/>
      <c r="F459" s="1"/>
      <c r="G459" s="1"/>
    </row>
    <row r="460" spans="1:7" ht="12.5" x14ac:dyDescent="0.25">
      <c r="A460" s="1"/>
      <c r="B460" s="1"/>
      <c r="C460" s="1"/>
      <c r="D460" s="1"/>
      <c r="E460" s="1"/>
      <c r="F460" s="1"/>
      <c r="G460" s="1"/>
    </row>
    <row r="461" spans="1:7" ht="12.5" x14ac:dyDescent="0.25">
      <c r="A461" s="1"/>
      <c r="B461" s="1"/>
      <c r="C461" s="1"/>
      <c r="D461" s="1"/>
      <c r="E461" s="1"/>
      <c r="F461" s="1"/>
      <c r="G461" s="1"/>
    </row>
    <row r="462" spans="1:7" ht="12.5" x14ac:dyDescent="0.25">
      <c r="A462" s="1"/>
      <c r="B462" s="1"/>
      <c r="C462" s="1"/>
      <c r="D462" s="1"/>
      <c r="E462" s="1"/>
      <c r="F462" s="1"/>
      <c r="G462" s="1"/>
    </row>
    <row r="463" spans="1:7" ht="12.5" x14ac:dyDescent="0.25">
      <c r="A463" s="1"/>
      <c r="B463" s="1"/>
      <c r="C463" s="1"/>
      <c r="D463" s="1"/>
      <c r="E463" s="1"/>
      <c r="F463" s="1"/>
      <c r="G463" s="1"/>
    </row>
    <row r="464" spans="1:7" ht="12.5" x14ac:dyDescent="0.25">
      <c r="A464" s="1"/>
      <c r="B464" s="1"/>
      <c r="C464" s="1"/>
      <c r="D464" s="1"/>
      <c r="E464" s="1"/>
      <c r="F464" s="1"/>
      <c r="G464" s="1"/>
    </row>
    <row r="465" spans="1:7" ht="12.5" x14ac:dyDescent="0.25">
      <c r="A465" s="1"/>
      <c r="B465" s="1"/>
      <c r="C465" s="1"/>
      <c r="D465" s="1"/>
      <c r="E465" s="1"/>
      <c r="F465" s="1"/>
      <c r="G465" s="1"/>
    </row>
    <row r="466" spans="1:7" ht="12.5" x14ac:dyDescent="0.25">
      <c r="A466" s="1"/>
      <c r="B466" s="1"/>
      <c r="C466" s="1"/>
      <c r="D466" s="1"/>
      <c r="E466" s="1"/>
      <c r="F466" s="1"/>
      <c r="G466" s="1"/>
    </row>
    <row r="467" spans="1:7" ht="12.5" x14ac:dyDescent="0.25">
      <c r="A467" s="1"/>
      <c r="B467" s="1"/>
      <c r="C467" s="1"/>
      <c r="D467" s="1"/>
      <c r="E467" s="1"/>
      <c r="F467" s="1"/>
      <c r="G467" s="1"/>
    </row>
    <row r="468" spans="1:7" ht="12.5" x14ac:dyDescent="0.25">
      <c r="A468" s="1"/>
      <c r="B468" s="1"/>
      <c r="C468" s="1"/>
      <c r="D468" s="1"/>
      <c r="E468" s="1"/>
      <c r="F468" s="1"/>
      <c r="G468" s="1"/>
    </row>
    <row r="469" spans="1:7" ht="12.5" x14ac:dyDescent="0.25">
      <c r="A469" s="1"/>
      <c r="B469" s="1"/>
      <c r="C469" s="1"/>
      <c r="D469" s="1"/>
      <c r="E469" s="1"/>
      <c r="F469" s="1"/>
      <c r="G469" s="1"/>
    </row>
    <row r="470" spans="1:7" ht="12.5" x14ac:dyDescent="0.25">
      <c r="A470" s="1"/>
      <c r="B470" s="1"/>
      <c r="C470" s="1"/>
      <c r="D470" s="1"/>
      <c r="E470" s="1"/>
      <c r="F470" s="1"/>
      <c r="G470" s="1"/>
    </row>
    <row r="471" spans="1:7" ht="12.5" x14ac:dyDescent="0.25">
      <c r="A471" s="1"/>
      <c r="B471" s="1"/>
      <c r="C471" s="1"/>
      <c r="D471" s="1"/>
      <c r="E471" s="1"/>
      <c r="F471" s="1"/>
      <c r="G471" s="1"/>
    </row>
    <row r="472" spans="1:7" ht="12.5" x14ac:dyDescent="0.25">
      <c r="A472" s="1"/>
      <c r="B472" s="1"/>
      <c r="C472" s="1"/>
      <c r="D472" s="1"/>
      <c r="E472" s="1"/>
      <c r="F472" s="1"/>
      <c r="G472" s="1"/>
    </row>
    <row r="473" spans="1:7" ht="12.5" x14ac:dyDescent="0.25">
      <c r="A473" s="1"/>
      <c r="B473" s="1"/>
      <c r="C473" s="1"/>
      <c r="D473" s="1"/>
      <c r="E473" s="1"/>
      <c r="F473" s="1"/>
      <c r="G473" s="1"/>
    </row>
    <row r="474" spans="1:7" ht="12.5" x14ac:dyDescent="0.25">
      <c r="A474" s="1"/>
      <c r="B474" s="1"/>
      <c r="C474" s="1"/>
      <c r="D474" s="1"/>
      <c r="E474" s="1"/>
      <c r="F474" s="1"/>
      <c r="G474" s="1"/>
    </row>
    <row r="475" spans="1:7" ht="12.5" x14ac:dyDescent="0.25">
      <c r="A475" s="1"/>
      <c r="B475" s="1"/>
      <c r="C475" s="1"/>
      <c r="D475" s="1"/>
      <c r="E475" s="1"/>
      <c r="F475" s="1"/>
      <c r="G475" s="1"/>
    </row>
    <row r="476" spans="1:7" ht="12.5" x14ac:dyDescent="0.25">
      <c r="A476" s="1"/>
      <c r="B476" s="1"/>
      <c r="C476" s="1"/>
      <c r="D476" s="1"/>
      <c r="E476" s="1"/>
      <c r="F476" s="1"/>
      <c r="G476" s="1"/>
    </row>
    <row r="477" spans="1:7" ht="12.5" x14ac:dyDescent="0.25">
      <c r="A477" s="1"/>
      <c r="B477" s="1"/>
      <c r="C477" s="1"/>
      <c r="D477" s="1"/>
      <c r="E477" s="1"/>
      <c r="F477" s="1"/>
      <c r="G477" s="1"/>
    </row>
    <row r="478" spans="1:7" ht="12.5" x14ac:dyDescent="0.25">
      <c r="A478" s="1"/>
      <c r="B478" s="1"/>
      <c r="C478" s="1"/>
      <c r="D478" s="1"/>
      <c r="E478" s="1"/>
      <c r="F478" s="1"/>
      <c r="G478" s="1"/>
    </row>
    <row r="479" spans="1:7" ht="12.5" x14ac:dyDescent="0.25">
      <c r="A479" s="1"/>
      <c r="B479" s="1"/>
      <c r="C479" s="1"/>
      <c r="D479" s="1"/>
      <c r="E479" s="1"/>
      <c r="F479" s="1"/>
      <c r="G479" s="1"/>
    </row>
    <row r="480" spans="1:7" ht="12.5" x14ac:dyDescent="0.25">
      <c r="A480" s="1"/>
      <c r="B480" s="1"/>
      <c r="C480" s="1"/>
      <c r="D480" s="1"/>
      <c r="E480" s="1"/>
      <c r="F480" s="1"/>
      <c r="G480" s="1"/>
    </row>
    <row r="481" spans="1:7" ht="12.5" x14ac:dyDescent="0.25">
      <c r="A481" s="1"/>
      <c r="B481" s="1"/>
      <c r="C481" s="1"/>
      <c r="D481" s="1"/>
      <c r="E481" s="1"/>
      <c r="F481" s="1"/>
      <c r="G481" s="1"/>
    </row>
    <row r="482" spans="1:7" ht="12.5" x14ac:dyDescent="0.25">
      <c r="A482" s="1"/>
      <c r="B482" s="1"/>
      <c r="C482" s="1"/>
      <c r="D482" s="1"/>
      <c r="E482" s="1"/>
      <c r="F482" s="1"/>
      <c r="G482" s="1"/>
    </row>
    <row r="483" spans="1:7" ht="12.5" x14ac:dyDescent="0.25">
      <c r="A483" s="1"/>
      <c r="B483" s="1"/>
      <c r="C483" s="1"/>
      <c r="D483" s="1"/>
      <c r="E483" s="1"/>
      <c r="F483" s="1"/>
      <c r="G483" s="1"/>
    </row>
    <row r="484" spans="1:7" ht="12.5" x14ac:dyDescent="0.25">
      <c r="A484" s="1"/>
      <c r="B484" s="1"/>
      <c r="C484" s="1"/>
      <c r="D484" s="1"/>
      <c r="E484" s="1"/>
      <c r="F484" s="1"/>
      <c r="G484" s="1"/>
    </row>
    <row r="485" spans="1:7" ht="12.5" x14ac:dyDescent="0.25">
      <c r="A485" s="1"/>
      <c r="B485" s="1"/>
      <c r="C485" s="1"/>
      <c r="D485" s="1"/>
      <c r="E485" s="1"/>
      <c r="F485" s="1"/>
      <c r="G485" s="1"/>
    </row>
    <row r="486" spans="1:7" ht="12.5" x14ac:dyDescent="0.25">
      <c r="A486" s="1"/>
      <c r="B486" s="1"/>
      <c r="C486" s="1"/>
      <c r="D486" s="1"/>
      <c r="E486" s="1"/>
      <c r="F486" s="1"/>
      <c r="G486" s="1"/>
    </row>
    <row r="487" spans="1:7" ht="12.5" x14ac:dyDescent="0.25">
      <c r="A487" s="1"/>
      <c r="B487" s="1"/>
      <c r="C487" s="1"/>
      <c r="D487" s="1"/>
      <c r="E487" s="1"/>
      <c r="F487" s="1"/>
      <c r="G487" s="1"/>
    </row>
    <row r="488" spans="1:7" ht="12.5" x14ac:dyDescent="0.25">
      <c r="A488" s="1"/>
      <c r="B488" s="1"/>
      <c r="C488" s="1"/>
      <c r="D488" s="1"/>
      <c r="E488" s="1"/>
      <c r="F488" s="1"/>
      <c r="G488" s="1"/>
    </row>
    <row r="489" spans="1:7" ht="12.5" x14ac:dyDescent="0.25">
      <c r="A489" s="1"/>
      <c r="B489" s="1"/>
      <c r="C489" s="1"/>
      <c r="D489" s="1"/>
      <c r="E489" s="1"/>
      <c r="F489" s="1"/>
      <c r="G489" s="1"/>
    </row>
    <row r="490" spans="1:7" ht="12.5" x14ac:dyDescent="0.25">
      <c r="A490" s="1"/>
      <c r="B490" s="1"/>
      <c r="C490" s="1"/>
      <c r="D490" s="1"/>
      <c r="E490" s="1"/>
      <c r="F490" s="1"/>
      <c r="G490" s="1"/>
    </row>
    <row r="491" spans="1:7" ht="12.5" x14ac:dyDescent="0.25">
      <c r="A491" s="1"/>
      <c r="B491" s="1"/>
      <c r="C491" s="1"/>
      <c r="D491" s="1"/>
      <c r="E491" s="1"/>
      <c r="F491" s="1"/>
      <c r="G491" s="1"/>
    </row>
    <row r="492" spans="1:7" ht="12.5" x14ac:dyDescent="0.25">
      <c r="A492" s="1"/>
      <c r="B492" s="1"/>
      <c r="C492" s="1"/>
      <c r="D492" s="1"/>
      <c r="E492" s="1"/>
      <c r="F492" s="1"/>
      <c r="G492" s="1"/>
    </row>
    <row r="493" spans="1:7" ht="12.5" x14ac:dyDescent="0.25">
      <c r="A493" s="1"/>
      <c r="B493" s="1"/>
      <c r="C493" s="1"/>
      <c r="D493" s="1"/>
      <c r="E493" s="1"/>
      <c r="F493" s="1"/>
      <c r="G493" s="1"/>
    </row>
    <row r="494" spans="1:7" ht="12.5" x14ac:dyDescent="0.25">
      <c r="A494" s="1"/>
      <c r="B494" s="1"/>
      <c r="C494" s="1"/>
      <c r="D494" s="1"/>
      <c r="E494" s="1"/>
      <c r="F494" s="1"/>
      <c r="G494" s="1"/>
    </row>
    <row r="495" spans="1:7" ht="12.5" x14ac:dyDescent="0.25">
      <c r="A495" s="1"/>
      <c r="B495" s="1"/>
      <c r="C495" s="1"/>
      <c r="D495" s="1"/>
      <c r="E495" s="1"/>
      <c r="F495" s="1"/>
      <c r="G495" s="1"/>
    </row>
    <row r="496" spans="1:7" ht="12.5" x14ac:dyDescent="0.25">
      <c r="A496" s="1"/>
      <c r="B496" s="1"/>
      <c r="C496" s="1"/>
      <c r="D496" s="1"/>
      <c r="E496" s="1"/>
      <c r="F496" s="1"/>
      <c r="G496" s="1"/>
    </row>
    <row r="497" spans="1:7" ht="12.5" x14ac:dyDescent="0.25">
      <c r="A497" s="1"/>
      <c r="B497" s="1"/>
      <c r="C497" s="1"/>
      <c r="D497" s="1"/>
      <c r="E497" s="1"/>
      <c r="F497" s="1"/>
      <c r="G497" s="1"/>
    </row>
    <row r="498" spans="1:7" ht="12.5" x14ac:dyDescent="0.25">
      <c r="A498" s="1"/>
      <c r="B498" s="1"/>
      <c r="C498" s="1"/>
      <c r="D498" s="1"/>
      <c r="E498" s="1"/>
      <c r="F498" s="1"/>
      <c r="G498" s="1"/>
    </row>
    <row r="499" spans="1:7" ht="12.5" x14ac:dyDescent="0.25">
      <c r="A499" s="1"/>
      <c r="B499" s="1"/>
      <c r="C499" s="1"/>
      <c r="D499" s="1"/>
      <c r="E499" s="1"/>
      <c r="F499" s="1"/>
      <c r="G499" s="1"/>
    </row>
    <row r="500" spans="1:7" ht="12.5" x14ac:dyDescent="0.25">
      <c r="A500" s="1"/>
      <c r="B500" s="1"/>
      <c r="C500" s="1"/>
      <c r="D500" s="1"/>
      <c r="E500" s="1"/>
      <c r="F500" s="1"/>
      <c r="G500" s="1"/>
    </row>
    <row r="501" spans="1:7" ht="12.5" x14ac:dyDescent="0.25">
      <c r="A501" s="1"/>
      <c r="B501" s="1"/>
      <c r="C501" s="1"/>
      <c r="D501" s="1"/>
      <c r="E501" s="1"/>
      <c r="F501" s="1"/>
      <c r="G501" s="1"/>
    </row>
    <row r="502" spans="1:7" ht="12.5" x14ac:dyDescent="0.25">
      <c r="A502" s="1"/>
      <c r="B502" s="1"/>
      <c r="C502" s="1"/>
      <c r="D502" s="1"/>
      <c r="E502" s="1"/>
      <c r="F502" s="1"/>
      <c r="G502" s="1"/>
    </row>
    <row r="503" spans="1:7" ht="12.5" x14ac:dyDescent="0.25">
      <c r="A503" s="1"/>
      <c r="B503" s="1"/>
      <c r="C503" s="1"/>
      <c r="D503" s="1"/>
      <c r="E503" s="1"/>
      <c r="F503" s="1"/>
      <c r="G503" s="1"/>
    </row>
    <row r="504" spans="1:7" ht="12.5" x14ac:dyDescent="0.25">
      <c r="A504" s="1"/>
      <c r="B504" s="1"/>
      <c r="C504" s="1"/>
      <c r="D504" s="1"/>
      <c r="E504" s="1"/>
      <c r="F504" s="1"/>
      <c r="G504" s="1"/>
    </row>
    <row r="505" spans="1:7" ht="12.5" x14ac:dyDescent="0.25">
      <c r="A505" s="1"/>
      <c r="B505" s="1"/>
      <c r="C505" s="1"/>
      <c r="D505" s="1"/>
      <c r="E505" s="1"/>
      <c r="F505" s="1"/>
      <c r="G505" s="1"/>
    </row>
    <row r="506" spans="1:7" ht="12.5" x14ac:dyDescent="0.25">
      <c r="A506" s="1"/>
      <c r="B506" s="1"/>
      <c r="C506" s="1"/>
      <c r="D506" s="1"/>
      <c r="E506" s="1"/>
      <c r="F506" s="1"/>
      <c r="G506" s="1"/>
    </row>
    <row r="507" spans="1:7" ht="12.5" x14ac:dyDescent="0.25">
      <c r="A507" s="1"/>
      <c r="B507" s="1"/>
      <c r="C507" s="1"/>
      <c r="D507" s="1"/>
      <c r="E507" s="1"/>
      <c r="F507" s="1"/>
      <c r="G507" s="1"/>
    </row>
    <row r="508" spans="1:7" ht="12.5" x14ac:dyDescent="0.25">
      <c r="A508" s="1"/>
      <c r="B508" s="1"/>
      <c r="C508" s="1"/>
      <c r="D508" s="1"/>
      <c r="E508" s="1"/>
      <c r="F508" s="1"/>
      <c r="G508" s="1"/>
    </row>
    <row r="509" spans="1:7" ht="12.5" x14ac:dyDescent="0.25">
      <c r="A509" s="1"/>
      <c r="B509" s="1"/>
      <c r="C509" s="1"/>
      <c r="D509" s="1"/>
      <c r="E509" s="1"/>
      <c r="F509" s="1"/>
      <c r="G509" s="1"/>
    </row>
    <row r="510" spans="1:7" ht="12.5" x14ac:dyDescent="0.25">
      <c r="A510" s="1"/>
      <c r="B510" s="1"/>
      <c r="C510" s="1"/>
      <c r="D510" s="1"/>
      <c r="E510" s="1"/>
      <c r="F510" s="1"/>
      <c r="G510" s="1"/>
    </row>
    <row r="511" spans="1:7" ht="12.5" x14ac:dyDescent="0.25">
      <c r="A511" s="1"/>
      <c r="B511" s="1"/>
      <c r="C511" s="1"/>
      <c r="D511" s="1"/>
      <c r="E511" s="1"/>
      <c r="F511" s="1"/>
      <c r="G511" s="1"/>
    </row>
    <row r="512" spans="1:7" ht="12.5" x14ac:dyDescent="0.25">
      <c r="A512" s="1"/>
      <c r="B512" s="1"/>
      <c r="C512" s="1"/>
      <c r="D512" s="1"/>
      <c r="E512" s="1"/>
      <c r="F512" s="1"/>
      <c r="G512" s="1"/>
    </row>
    <row r="513" spans="1:7" ht="12.5" x14ac:dyDescent="0.25">
      <c r="A513" s="1"/>
      <c r="B513" s="1"/>
      <c r="C513" s="1"/>
      <c r="D513" s="1"/>
      <c r="E513" s="1"/>
      <c r="F513" s="1"/>
      <c r="G513" s="1"/>
    </row>
    <row r="514" spans="1:7" ht="12.5" x14ac:dyDescent="0.25">
      <c r="A514" s="1"/>
      <c r="B514" s="1"/>
      <c r="C514" s="1"/>
      <c r="D514" s="1"/>
      <c r="E514" s="1"/>
      <c r="F514" s="1"/>
      <c r="G514" s="1"/>
    </row>
    <row r="515" spans="1:7" ht="12.5" x14ac:dyDescent="0.25">
      <c r="A515" s="1"/>
      <c r="B515" s="1"/>
      <c r="C515" s="1"/>
      <c r="D515" s="1"/>
      <c r="E515" s="1"/>
      <c r="F515" s="1"/>
      <c r="G515" s="1"/>
    </row>
    <row r="516" spans="1:7" ht="12.5" x14ac:dyDescent="0.25">
      <c r="A516" s="1"/>
      <c r="B516" s="1"/>
      <c r="C516" s="1"/>
      <c r="D516" s="1"/>
      <c r="E516" s="1"/>
      <c r="F516" s="1"/>
      <c r="G516" s="1"/>
    </row>
    <row r="517" spans="1:7" ht="12.5" x14ac:dyDescent="0.25">
      <c r="A517" s="1"/>
      <c r="B517" s="1"/>
      <c r="C517" s="1"/>
      <c r="D517" s="1"/>
      <c r="E517" s="1"/>
      <c r="F517" s="1"/>
      <c r="G517" s="1"/>
    </row>
    <row r="518" spans="1:7" ht="12.5" x14ac:dyDescent="0.25">
      <c r="A518" s="1"/>
      <c r="B518" s="1"/>
      <c r="C518" s="1"/>
      <c r="D518" s="1"/>
      <c r="E518" s="1"/>
      <c r="F518" s="1"/>
      <c r="G518" s="1"/>
    </row>
    <row r="519" spans="1:7" ht="12.5" x14ac:dyDescent="0.25">
      <c r="A519" s="1"/>
      <c r="B519" s="1"/>
      <c r="C519" s="1"/>
      <c r="D519" s="1"/>
      <c r="E519" s="1"/>
      <c r="F519" s="1"/>
      <c r="G519" s="1"/>
    </row>
    <row r="520" spans="1:7" ht="12.5" x14ac:dyDescent="0.25">
      <c r="A520" s="1"/>
      <c r="B520" s="1"/>
      <c r="C520" s="1"/>
      <c r="D520" s="1"/>
      <c r="E520" s="1"/>
      <c r="F520" s="1"/>
      <c r="G520" s="1"/>
    </row>
    <row r="521" spans="1:7" ht="12.5" x14ac:dyDescent="0.25">
      <c r="A521" s="1"/>
      <c r="B521" s="1"/>
      <c r="C521" s="1"/>
      <c r="D521" s="1"/>
      <c r="E521" s="1"/>
      <c r="F521" s="1"/>
      <c r="G521" s="1"/>
    </row>
    <row r="522" spans="1:7" ht="12.5" x14ac:dyDescent="0.25">
      <c r="A522" s="1"/>
      <c r="B522" s="1"/>
      <c r="C522" s="1"/>
      <c r="D522" s="1"/>
      <c r="E522" s="1"/>
      <c r="F522" s="1"/>
      <c r="G522" s="1"/>
    </row>
    <row r="523" spans="1:7" ht="12.5" x14ac:dyDescent="0.25">
      <c r="A523" s="1"/>
      <c r="B523" s="1"/>
      <c r="C523" s="1"/>
      <c r="D523" s="1"/>
      <c r="E523" s="1"/>
      <c r="F523" s="1"/>
      <c r="G523" s="1"/>
    </row>
    <row r="524" spans="1:7" ht="12.5" x14ac:dyDescent="0.25">
      <c r="A524" s="1"/>
      <c r="B524" s="1"/>
      <c r="C524" s="1"/>
      <c r="D524" s="1"/>
      <c r="E524" s="1"/>
      <c r="F524" s="1"/>
      <c r="G524" s="1"/>
    </row>
    <row r="525" spans="1:7" ht="12.5" x14ac:dyDescent="0.25">
      <c r="A525" s="1"/>
      <c r="B525" s="1"/>
      <c r="C525" s="1"/>
      <c r="D525" s="1"/>
      <c r="E525" s="1"/>
      <c r="F525" s="1"/>
      <c r="G525" s="1"/>
    </row>
    <row r="526" spans="1:7" ht="12.5" x14ac:dyDescent="0.25">
      <c r="A526" s="1"/>
      <c r="B526" s="1"/>
      <c r="C526" s="1"/>
      <c r="D526" s="1"/>
      <c r="E526" s="1"/>
      <c r="F526" s="1"/>
      <c r="G526" s="1"/>
    </row>
    <row r="527" spans="1:7" ht="12.5" x14ac:dyDescent="0.25">
      <c r="A527" s="1"/>
      <c r="B527" s="1"/>
      <c r="C527" s="1"/>
      <c r="D527" s="1"/>
      <c r="E527" s="1"/>
      <c r="F527" s="1"/>
      <c r="G527" s="1"/>
    </row>
    <row r="528" spans="1:7" ht="12.5" x14ac:dyDescent="0.25">
      <c r="A528" s="1"/>
      <c r="B528" s="1"/>
      <c r="C528" s="1"/>
      <c r="D528" s="1"/>
      <c r="E528" s="1"/>
      <c r="F528" s="1"/>
      <c r="G528" s="1"/>
    </row>
    <row r="529" spans="1:7" ht="12.5" x14ac:dyDescent="0.25">
      <c r="A529" s="1"/>
      <c r="B529" s="1"/>
      <c r="C529" s="1"/>
      <c r="D529" s="1"/>
      <c r="E529" s="1"/>
      <c r="F529" s="1"/>
      <c r="G529" s="1"/>
    </row>
    <row r="530" spans="1:7" ht="12.5" x14ac:dyDescent="0.25">
      <c r="A530" s="1"/>
      <c r="B530" s="1"/>
      <c r="C530" s="1"/>
      <c r="D530" s="1"/>
      <c r="E530" s="1"/>
      <c r="F530" s="1"/>
      <c r="G530" s="1"/>
    </row>
    <row r="531" spans="1:7" ht="12.5" x14ac:dyDescent="0.25">
      <c r="A531" s="1"/>
      <c r="B531" s="1"/>
      <c r="C531" s="1"/>
      <c r="D531" s="1"/>
      <c r="E531" s="1"/>
      <c r="F531" s="1"/>
      <c r="G531" s="1"/>
    </row>
    <row r="532" spans="1:7" ht="12.5" x14ac:dyDescent="0.25">
      <c r="A532" s="1"/>
      <c r="B532" s="1"/>
      <c r="C532" s="1"/>
      <c r="D532" s="1"/>
      <c r="E532" s="1"/>
      <c r="F532" s="1"/>
      <c r="G532" s="1"/>
    </row>
    <row r="533" spans="1:7" ht="12.5" x14ac:dyDescent="0.25">
      <c r="A533" s="1"/>
      <c r="B533" s="1"/>
      <c r="C533" s="1"/>
      <c r="D533" s="1"/>
      <c r="E533" s="1"/>
      <c r="F533" s="1"/>
      <c r="G533" s="1"/>
    </row>
    <row r="534" spans="1:7" ht="12.5" x14ac:dyDescent="0.25">
      <c r="A534" s="1"/>
      <c r="B534" s="1"/>
      <c r="C534" s="1"/>
      <c r="D534" s="1"/>
      <c r="E534" s="1"/>
      <c r="F534" s="1"/>
      <c r="G534" s="1"/>
    </row>
    <row r="535" spans="1:7" ht="12.5" x14ac:dyDescent="0.25">
      <c r="A535" s="1"/>
      <c r="B535" s="1"/>
      <c r="C535" s="1"/>
      <c r="D535" s="1"/>
      <c r="E535" s="1"/>
      <c r="F535" s="1"/>
      <c r="G535" s="1"/>
    </row>
    <row r="536" spans="1:7" ht="12.5" x14ac:dyDescent="0.25">
      <c r="A536" s="1"/>
      <c r="B536" s="1"/>
      <c r="C536" s="1"/>
      <c r="D536" s="1"/>
      <c r="E536" s="1"/>
      <c r="F536" s="1"/>
      <c r="G536" s="1"/>
    </row>
    <row r="537" spans="1:7" ht="12.5" x14ac:dyDescent="0.25">
      <c r="A537" s="1"/>
      <c r="B537" s="1"/>
      <c r="C537" s="1"/>
      <c r="D537" s="1"/>
      <c r="E537" s="1"/>
      <c r="F537" s="1"/>
      <c r="G537" s="1"/>
    </row>
    <row r="538" spans="1:7" ht="12.5" x14ac:dyDescent="0.25">
      <c r="A538" s="1"/>
      <c r="B538" s="1"/>
      <c r="C538" s="1"/>
      <c r="D538" s="1"/>
      <c r="E538" s="1"/>
      <c r="F538" s="1"/>
      <c r="G538" s="1"/>
    </row>
    <row r="539" spans="1:7" ht="12.5" x14ac:dyDescent="0.25">
      <c r="A539" s="1"/>
      <c r="B539" s="1"/>
      <c r="C539" s="1"/>
      <c r="D539" s="1"/>
      <c r="E539" s="1"/>
      <c r="F539" s="1"/>
      <c r="G539" s="1"/>
    </row>
    <row r="540" spans="1:7" ht="12.5" x14ac:dyDescent="0.25">
      <c r="A540" s="1"/>
      <c r="B540" s="1"/>
      <c r="C540" s="1"/>
      <c r="D540" s="1"/>
      <c r="E540" s="1"/>
      <c r="F540" s="1"/>
      <c r="G540" s="1"/>
    </row>
    <row r="541" spans="1:7" ht="12.5" x14ac:dyDescent="0.25">
      <c r="A541" s="1"/>
      <c r="B541" s="1"/>
      <c r="C541" s="1"/>
      <c r="D541" s="1"/>
      <c r="E541" s="1"/>
      <c r="F541" s="1"/>
      <c r="G541" s="1"/>
    </row>
    <row r="542" spans="1:7" ht="12.5" x14ac:dyDescent="0.25">
      <c r="A542" s="1"/>
      <c r="B542" s="1"/>
      <c r="C542" s="1"/>
      <c r="D542" s="1"/>
      <c r="E542" s="1"/>
      <c r="F542" s="1"/>
      <c r="G542" s="1"/>
    </row>
    <row r="543" spans="1:7" ht="12.5" x14ac:dyDescent="0.25">
      <c r="A543" s="1"/>
      <c r="B543" s="1"/>
      <c r="C543" s="1"/>
      <c r="D543" s="1"/>
      <c r="E543" s="1"/>
      <c r="F543" s="1"/>
      <c r="G543" s="1"/>
    </row>
    <row r="544" spans="1:7" ht="12.5" x14ac:dyDescent="0.25">
      <c r="A544" s="1"/>
      <c r="B544" s="1"/>
      <c r="C544" s="1"/>
      <c r="D544" s="1"/>
      <c r="E544" s="1"/>
      <c r="F544" s="1"/>
      <c r="G544" s="1"/>
    </row>
    <row r="545" spans="1:7" ht="12.5" x14ac:dyDescent="0.25">
      <c r="A545" s="1"/>
      <c r="B545" s="1"/>
      <c r="C545" s="1"/>
      <c r="D545" s="1"/>
      <c r="E545" s="1"/>
      <c r="F545" s="1"/>
      <c r="G545" s="1"/>
    </row>
    <row r="546" spans="1:7" ht="12.5" x14ac:dyDescent="0.25">
      <c r="A546" s="1"/>
      <c r="B546" s="1"/>
      <c r="C546" s="1"/>
      <c r="D546" s="1"/>
      <c r="E546" s="1"/>
      <c r="F546" s="1"/>
      <c r="G546" s="1"/>
    </row>
    <row r="547" spans="1:7" ht="12.5" x14ac:dyDescent="0.25">
      <c r="A547" s="1"/>
      <c r="B547" s="1"/>
      <c r="C547" s="1"/>
      <c r="D547" s="1"/>
      <c r="E547" s="1"/>
      <c r="F547" s="1"/>
      <c r="G547" s="1"/>
    </row>
    <row r="548" spans="1:7" ht="12.5" x14ac:dyDescent="0.25">
      <c r="A548" s="1"/>
      <c r="B548" s="1"/>
      <c r="C548" s="1"/>
      <c r="D548" s="1"/>
      <c r="E548" s="1"/>
      <c r="F548" s="1"/>
      <c r="G548" s="1"/>
    </row>
    <row r="549" spans="1:7" ht="12.5" x14ac:dyDescent="0.25">
      <c r="A549" s="1"/>
      <c r="B549" s="1"/>
      <c r="C549" s="1"/>
      <c r="D549" s="1"/>
      <c r="E549" s="1"/>
      <c r="F549" s="1"/>
      <c r="G549" s="1"/>
    </row>
    <row r="550" spans="1:7" ht="12.5" x14ac:dyDescent="0.25">
      <c r="A550" s="1"/>
      <c r="B550" s="1"/>
      <c r="C550" s="1"/>
      <c r="D550" s="1"/>
      <c r="E550" s="1"/>
      <c r="F550" s="1"/>
      <c r="G550" s="1"/>
    </row>
    <row r="551" spans="1:7" ht="12.5" x14ac:dyDescent="0.25">
      <c r="A551" s="1"/>
      <c r="B551" s="1"/>
      <c r="C551" s="1"/>
      <c r="D551" s="1"/>
      <c r="E551" s="1"/>
      <c r="F551" s="1"/>
      <c r="G551" s="1"/>
    </row>
    <row r="552" spans="1:7" ht="12.5" x14ac:dyDescent="0.25">
      <c r="A552" s="1"/>
      <c r="B552" s="1"/>
      <c r="C552" s="1"/>
      <c r="D552" s="1"/>
      <c r="E552" s="1"/>
      <c r="F552" s="1"/>
      <c r="G552" s="1"/>
    </row>
    <row r="553" spans="1:7" ht="12.5" x14ac:dyDescent="0.25">
      <c r="A553" s="1"/>
      <c r="B553" s="1"/>
      <c r="C553" s="1"/>
      <c r="D553" s="1"/>
      <c r="E553" s="1"/>
      <c r="F553" s="1"/>
      <c r="G553" s="1"/>
    </row>
    <row r="554" spans="1:7" ht="12.5" x14ac:dyDescent="0.25">
      <c r="A554" s="1"/>
      <c r="B554" s="1"/>
      <c r="C554" s="1"/>
      <c r="D554" s="1"/>
      <c r="E554" s="1"/>
      <c r="F554" s="1"/>
      <c r="G554" s="1"/>
    </row>
    <row r="555" spans="1:7" ht="12.5" x14ac:dyDescent="0.25">
      <c r="A555" s="1"/>
      <c r="B555" s="1"/>
      <c r="C555" s="1"/>
      <c r="D555" s="1"/>
      <c r="E555" s="1"/>
      <c r="F555" s="1"/>
      <c r="G555" s="1"/>
    </row>
    <row r="556" spans="1:7" ht="12.5" x14ac:dyDescent="0.25">
      <c r="A556" s="1"/>
      <c r="B556" s="1"/>
      <c r="C556" s="1"/>
      <c r="D556" s="1"/>
      <c r="E556" s="1"/>
      <c r="F556" s="1"/>
      <c r="G556" s="1"/>
    </row>
    <row r="557" spans="1:7" ht="12.5" x14ac:dyDescent="0.25">
      <c r="A557" s="1"/>
      <c r="B557" s="1"/>
      <c r="C557" s="1"/>
      <c r="D557" s="1"/>
      <c r="E557" s="1"/>
      <c r="F557" s="1"/>
      <c r="G557" s="1"/>
    </row>
    <row r="558" spans="1:7" ht="12.5" x14ac:dyDescent="0.25">
      <c r="A558" s="1"/>
      <c r="B558" s="1"/>
      <c r="C558" s="1"/>
      <c r="D558" s="1"/>
      <c r="E558" s="1"/>
      <c r="F558" s="1"/>
      <c r="G558" s="1"/>
    </row>
    <row r="559" spans="1:7" ht="12.5" x14ac:dyDescent="0.25">
      <c r="A559" s="1"/>
      <c r="B559" s="1"/>
      <c r="C559" s="1"/>
      <c r="D559" s="1"/>
      <c r="E559" s="1"/>
      <c r="F559" s="1"/>
      <c r="G559" s="1"/>
    </row>
    <row r="560" spans="1:7" ht="12.5" x14ac:dyDescent="0.25">
      <c r="A560" s="1"/>
      <c r="B560" s="1"/>
      <c r="C560" s="1"/>
      <c r="D560" s="1"/>
      <c r="E560" s="1"/>
      <c r="F560" s="1"/>
      <c r="G560" s="1"/>
    </row>
    <row r="561" spans="1:7" ht="12.5" x14ac:dyDescent="0.25">
      <c r="A561" s="1"/>
      <c r="B561" s="1"/>
      <c r="C561" s="1"/>
      <c r="D561" s="1"/>
      <c r="E561" s="1"/>
      <c r="F561" s="1"/>
      <c r="G561" s="1"/>
    </row>
    <row r="562" spans="1:7" ht="12.5" x14ac:dyDescent="0.25">
      <c r="A562" s="1"/>
      <c r="B562" s="1"/>
      <c r="C562" s="1"/>
      <c r="D562" s="1"/>
      <c r="E562" s="1"/>
      <c r="F562" s="1"/>
      <c r="G562" s="1"/>
    </row>
    <row r="563" spans="1:7" ht="12.5" x14ac:dyDescent="0.25">
      <c r="A563" s="1"/>
      <c r="B563" s="1"/>
      <c r="C563" s="1"/>
      <c r="D563" s="1"/>
      <c r="E563" s="1"/>
      <c r="F563" s="1"/>
      <c r="G563" s="1"/>
    </row>
    <row r="564" spans="1:7" ht="12.5" x14ac:dyDescent="0.25">
      <c r="A564" s="1"/>
      <c r="B564" s="1"/>
      <c r="C564" s="1"/>
      <c r="D564" s="1"/>
      <c r="E564" s="1"/>
      <c r="F564" s="1"/>
      <c r="G564" s="1"/>
    </row>
    <row r="565" spans="1:7" ht="12.5" x14ac:dyDescent="0.25">
      <c r="A565" s="1"/>
      <c r="B565" s="1"/>
      <c r="C565" s="1"/>
      <c r="D565" s="1"/>
      <c r="E565" s="1"/>
      <c r="F565" s="1"/>
      <c r="G565" s="1"/>
    </row>
    <row r="566" spans="1:7" ht="12.5" x14ac:dyDescent="0.25">
      <c r="A566" s="1"/>
      <c r="B566" s="1"/>
      <c r="C566" s="1"/>
      <c r="D566" s="1"/>
      <c r="E566" s="1"/>
      <c r="F566" s="1"/>
      <c r="G566" s="1"/>
    </row>
    <row r="567" spans="1:7" ht="12.5" x14ac:dyDescent="0.25">
      <c r="A567" s="1"/>
      <c r="B567" s="1"/>
      <c r="C567" s="1"/>
      <c r="D567" s="1"/>
      <c r="E567" s="1"/>
      <c r="F567" s="1"/>
      <c r="G567" s="1"/>
    </row>
    <row r="568" spans="1:7" ht="12.5" x14ac:dyDescent="0.25">
      <c r="A568" s="1"/>
      <c r="B568" s="1"/>
      <c r="C568" s="1"/>
      <c r="D568" s="1"/>
      <c r="E568" s="1"/>
      <c r="F568" s="1"/>
      <c r="G568" s="1"/>
    </row>
    <row r="569" spans="1:7" ht="12.5" x14ac:dyDescent="0.25">
      <c r="A569" s="1"/>
      <c r="B569" s="1"/>
      <c r="C569" s="1"/>
      <c r="D569" s="1"/>
      <c r="E569" s="1"/>
      <c r="F569" s="1"/>
      <c r="G569" s="1"/>
    </row>
    <row r="570" spans="1:7" ht="12.5" x14ac:dyDescent="0.25">
      <c r="A570" s="1"/>
      <c r="B570" s="1"/>
      <c r="C570" s="1"/>
      <c r="D570" s="1"/>
      <c r="E570" s="1"/>
      <c r="F570" s="1"/>
      <c r="G570" s="1"/>
    </row>
    <row r="571" spans="1:7" ht="12.5" x14ac:dyDescent="0.25">
      <c r="A571" s="1"/>
      <c r="B571" s="1"/>
      <c r="C571" s="1"/>
      <c r="D571" s="1"/>
      <c r="E571" s="1"/>
      <c r="F571" s="1"/>
      <c r="G571" s="1"/>
    </row>
    <row r="572" spans="1:7" ht="12.5" x14ac:dyDescent="0.25">
      <c r="A572" s="1"/>
      <c r="B572" s="1"/>
      <c r="C572" s="1"/>
      <c r="D572" s="1"/>
      <c r="E572" s="1"/>
      <c r="F572" s="1"/>
      <c r="G572" s="1"/>
    </row>
    <row r="573" spans="1:7" ht="12.5" x14ac:dyDescent="0.25">
      <c r="A573" s="1"/>
      <c r="B573" s="1"/>
      <c r="C573" s="1"/>
      <c r="D573" s="1"/>
      <c r="E573" s="1"/>
      <c r="F573" s="1"/>
      <c r="G573" s="1"/>
    </row>
    <row r="574" spans="1:7" ht="12.5" x14ac:dyDescent="0.25">
      <c r="A574" s="1"/>
      <c r="B574" s="1"/>
      <c r="C574" s="1"/>
      <c r="D574" s="1"/>
      <c r="E574" s="1"/>
      <c r="F574" s="1"/>
      <c r="G574" s="1"/>
    </row>
    <row r="575" spans="1:7" ht="12.5" x14ac:dyDescent="0.25">
      <c r="A575" s="1"/>
      <c r="B575" s="1"/>
      <c r="C575" s="1"/>
      <c r="D575" s="1"/>
      <c r="E575" s="1"/>
      <c r="F575" s="1"/>
      <c r="G575" s="1"/>
    </row>
    <row r="576" spans="1:7" ht="12.5" x14ac:dyDescent="0.25">
      <c r="A576" s="1"/>
      <c r="B576" s="1"/>
      <c r="C576" s="1"/>
      <c r="D576" s="1"/>
      <c r="E576" s="1"/>
      <c r="F576" s="1"/>
      <c r="G576" s="1"/>
    </row>
    <row r="577" spans="1:7" ht="12.5" x14ac:dyDescent="0.25">
      <c r="A577" s="1"/>
      <c r="B577" s="1"/>
      <c r="C577" s="1"/>
      <c r="D577" s="1"/>
      <c r="E577" s="1"/>
      <c r="F577" s="1"/>
      <c r="G577" s="1"/>
    </row>
    <row r="578" spans="1:7" ht="12.5" x14ac:dyDescent="0.25">
      <c r="A578" s="1"/>
      <c r="B578" s="1"/>
      <c r="C578" s="1"/>
      <c r="D578" s="1"/>
      <c r="E578" s="1"/>
      <c r="F578" s="1"/>
      <c r="G578" s="1"/>
    </row>
    <row r="579" spans="1:7" ht="12.5" x14ac:dyDescent="0.25">
      <c r="A579" s="1"/>
      <c r="B579" s="1"/>
      <c r="C579" s="1"/>
      <c r="D579" s="1"/>
      <c r="E579" s="1"/>
      <c r="F579" s="1"/>
      <c r="G579" s="1"/>
    </row>
    <row r="580" spans="1:7" ht="12.5" x14ac:dyDescent="0.25">
      <c r="A580" s="1"/>
      <c r="B580" s="1"/>
      <c r="C580" s="1"/>
      <c r="D580" s="1"/>
      <c r="E580" s="1"/>
      <c r="F580" s="1"/>
      <c r="G580" s="1"/>
    </row>
    <row r="581" spans="1:7" ht="12.5" x14ac:dyDescent="0.25">
      <c r="A581" s="1"/>
      <c r="B581" s="1"/>
      <c r="C581" s="1"/>
      <c r="D581" s="1"/>
      <c r="E581" s="1"/>
      <c r="F581" s="1"/>
      <c r="G581" s="1"/>
    </row>
    <row r="582" spans="1:7" ht="12.5" x14ac:dyDescent="0.25">
      <c r="A582" s="1"/>
      <c r="B582" s="1"/>
      <c r="C582" s="1"/>
      <c r="D582" s="1"/>
      <c r="E582" s="1"/>
      <c r="F582" s="1"/>
      <c r="G582" s="1"/>
    </row>
    <row r="583" spans="1:7" ht="12.5" x14ac:dyDescent="0.25">
      <c r="A583" s="1"/>
      <c r="B583" s="1"/>
      <c r="C583" s="1"/>
      <c r="D583" s="1"/>
      <c r="E583" s="1"/>
      <c r="F583" s="1"/>
      <c r="G583" s="1"/>
    </row>
    <row r="584" spans="1:7" ht="12.5" x14ac:dyDescent="0.25">
      <c r="A584" s="1"/>
      <c r="B584" s="1"/>
      <c r="C584" s="1"/>
      <c r="D584" s="1"/>
      <c r="E584" s="1"/>
      <c r="F584" s="1"/>
      <c r="G584" s="1"/>
    </row>
    <row r="585" spans="1:7" ht="12.5" x14ac:dyDescent="0.25">
      <c r="A585" s="1"/>
      <c r="B585" s="1"/>
      <c r="C585" s="1"/>
      <c r="D585" s="1"/>
      <c r="E585" s="1"/>
      <c r="F585" s="1"/>
      <c r="G585" s="1"/>
    </row>
    <row r="586" spans="1:7" ht="12.5" x14ac:dyDescent="0.25">
      <c r="A586" s="1"/>
      <c r="B586" s="1"/>
      <c r="C586" s="1"/>
      <c r="D586" s="1"/>
      <c r="E586" s="1"/>
      <c r="F586" s="1"/>
      <c r="G586" s="1"/>
    </row>
    <row r="587" spans="1:7" ht="12.5" x14ac:dyDescent="0.25">
      <c r="A587" s="1"/>
      <c r="B587" s="1"/>
      <c r="C587" s="1"/>
      <c r="D587" s="1"/>
      <c r="E587" s="1"/>
      <c r="F587" s="1"/>
      <c r="G587" s="1"/>
    </row>
    <row r="588" spans="1:7" ht="12.5" x14ac:dyDescent="0.25">
      <c r="A588" s="1"/>
      <c r="B588" s="1"/>
      <c r="C588" s="1"/>
      <c r="D588" s="1"/>
      <c r="E588" s="1"/>
      <c r="F588" s="1"/>
      <c r="G588" s="1"/>
    </row>
    <row r="589" spans="1:7" ht="12.5" x14ac:dyDescent="0.25">
      <c r="A589" s="1"/>
      <c r="B589" s="1"/>
      <c r="C589" s="1"/>
      <c r="D589" s="1"/>
      <c r="E589" s="1"/>
      <c r="F589" s="1"/>
      <c r="G589" s="1"/>
    </row>
    <row r="590" spans="1:7" ht="12.5" x14ac:dyDescent="0.25">
      <c r="A590" s="1"/>
      <c r="B590" s="1"/>
      <c r="C590" s="1"/>
      <c r="D590" s="1"/>
      <c r="E590" s="1"/>
      <c r="F590" s="1"/>
      <c r="G590" s="1"/>
    </row>
    <row r="591" spans="1:7" ht="12.5" x14ac:dyDescent="0.25">
      <c r="A591" s="1"/>
      <c r="B591" s="1"/>
      <c r="C591" s="1"/>
      <c r="D591" s="1"/>
      <c r="E591" s="1"/>
      <c r="F591" s="1"/>
      <c r="G591" s="1"/>
    </row>
    <row r="592" spans="1:7" ht="12.5" x14ac:dyDescent="0.25">
      <c r="A592" s="1"/>
      <c r="B592" s="1"/>
      <c r="C592" s="1"/>
      <c r="D592" s="1"/>
      <c r="E592" s="1"/>
      <c r="F592" s="1"/>
      <c r="G592" s="1"/>
    </row>
    <row r="593" spans="1:7" ht="12.5" x14ac:dyDescent="0.25">
      <c r="A593" s="1"/>
      <c r="B593" s="1"/>
      <c r="C593" s="1"/>
      <c r="D593" s="1"/>
      <c r="E593" s="1"/>
      <c r="F593" s="1"/>
      <c r="G593" s="1"/>
    </row>
    <row r="594" spans="1:7" ht="12.5" x14ac:dyDescent="0.25">
      <c r="A594" s="1"/>
      <c r="B594" s="1"/>
      <c r="C594" s="1"/>
      <c r="D594" s="1"/>
      <c r="E594" s="1"/>
      <c r="F594" s="1"/>
      <c r="G594" s="1"/>
    </row>
    <row r="595" spans="1:7" ht="12.5" x14ac:dyDescent="0.25">
      <c r="A595" s="1"/>
      <c r="B595" s="1"/>
      <c r="C595" s="1"/>
      <c r="D595" s="1"/>
      <c r="E595" s="1"/>
      <c r="F595" s="1"/>
      <c r="G595" s="1"/>
    </row>
    <row r="596" spans="1:7" ht="12.5" x14ac:dyDescent="0.25">
      <c r="A596" s="1"/>
      <c r="B596" s="1"/>
      <c r="C596" s="1"/>
      <c r="D596" s="1"/>
      <c r="E596" s="1"/>
      <c r="F596" s="1"/>
      <c r="G596" s="1"/>
    </row>
    <row r="597" spans="1:7" ht="12.5" x14ac:dyDescent="0.25">
      <c r="A597" s="1"/>
      <c r="B597" s="1"/>
      <c r="C597" s="1"/>
      <c r="D597" s="1"/>
      <c r="E597" s="1"/>
      <c r="F597" s="1"/>
      <c r="G597" s="1"/>
    </row>
    <row r="598" spans="1:7" ht="12.5" x14ac:dyDescent="0.25">
      <c r="A598" s="1"/>
      <c r="B598" s="1"/>
      <c r="C598" s="1"/>
      <c r="D598" s="1"/>
      <c r="E598" s="1"/>
      <c r="F598" s="1"/>
      <c r="G598" s="1"/>
    </row>
    <row r="599" spans="1:7" ht="12.5" x14ac:dyDescent="0.25">
      <c r="A599" s="1"/>
      <c r="B599" s="1"/>
      <c r="C599" s="1"/>
      <c r="D599" s="1"/>
      <c r="E599" s="1"/>
      <c r="F599" s="1"/>
      <c r="G599" s="1"/>
    </row>
    <row r="600" spans="1:7" ht="12.5" x14ac:dyDescent="0.25">
      <c r="A600" s="1"/>
      <c r="B600" s="1"/>
      <c r="C600" s="1"/>
      <c r="D600" s="1"/>
      <c r="E600" s="1"/>
      <c r="F600" s="1"/>
      <c r="G600" s="1"/>
    </row>
    <row r="601" spans="1:7" ht="12.5" x14ac:dyDescent="0.25">
      <c r="A601" s="1"/>
      <c r="B601" s="1"/>
      <c r="C601" s="1"/>
      <c r="D601" s="1"/>
      <c r="E601" s="1"/>
      <c r="F601" s="1"/>
      <c r="G601" s="1"/>
    </row>
    <row r="602" spans="1:7" ht="12.5" x14ac:dyDescent="0.25">
      <c r="A602" s="1"/>
      <c r="B602" s="1"/>
      <c r="C602" s="1"/>
      <c r="D602" s="1"/>
      <c r="E602" s="1"/>
      <c r="F602" s="1"/>
      <c r="G602" s="1"/>
    </row>
    <row r="603" spans="1:7" ht="12.5" x14ac:dyDescent="0.25">
      <c r="A603" s="1"/>
      <c r="B603" s="1"/>
      <c r="C603" s="1"/>
      <c r="D603" s="1"/>
      <c r="E603" s="1"/>
      <c r="F603" s="1"/>
      <c r="G603" s="1"/>
    </row>
    <row r="604" spans="1:7" ht="12.5" x14ac:dyDescent="0.25">
      <c r="A604" s="1"/>
      <c r="B604" s="1"/>
      <c r="C604" s="1"/>
      <c r="D604" s="1"/>
      <c r="E604" s="1"/>
      <c r="F604" s="1"/>
      <c r="G604" s="1"/>
    </row>
    <row r="605" spans="1:7" ht="12.5" x14ac:dyDescent="0.25">
      <c r="A605" s="1"/>
      <c r="B605" s="1"/>
      <c r="C605" s="1"/>
      <c r="D605" s="1"/>
      <c r="E605" s="1"/>
      <c r="F605" s="1"/>
      <c r="G605" s="1"/>
    </row>
    <row r="606" spans="1:7" ht="12.5" x14ac:dyDescent="0.25">
      <c r="A606" s="1"/>
      <c r="B606" s="1"/>
      <c r="C606" s="1"/>
      <c r="D606" s="1"/>
      <c r="E606" s="1"/>
      <c r="F606" s="1"/>
      <c r="G606" s="1"/>
    </row>
    <row r="607" spans="1:7" ht="12.5" x14ac:dyDescent="0.25">
      <c r="A607" s="1"/>
      <c r="B607" s="1"/>
      <c r="C607" s="1"/>
      <c r="D607" s="1"/>
      <c r="E607" s="1"/>
      <c r="F607" s="1"/>
      <c r="G607" s="1"/>
    </row>
    <row r="608" spans="1:7" ht="12.5" x14ac:dyDescent="0.25">
      <c r="A608" s="1"/>
      <c r="B608" s="1"/>
      <c r="C608" s="1"/>
      <c r="D608" s="1"/>
      <c r="E608" s="1"/>
      <c r="F608" s="1"/>
      <c r="G608" s="1"/>
    </row>
    <row r="609" spans="1:7" ht="12.5" x14ac:dyDescent="0.25">
      <c r="A609" s="1"/>
      <c r="B609" s="1"/>
      <c r="C609" s="1"/>
      <c r="D609" s="1"/>
      <c r="E609" s="1"/>
      <c r="F609" s="1"/>
      <c r="G609" s="1"/>
    </row>
    <row r="610" spans="1:7" ht="12.5" x14ac:dyDescent="0.25">
      <c r="A610" s="1"/>
      <c r="B610" s="1"/>
      <c r="C610" s="1"/>
      <c r="D610" s="1"/>
      <c r="E610" s="1"/>
      <c r="F610" s="1"/>
      <c r="G610" s="1"/>
    </row>
    <row r="611" spans="1:7" ht="12.5" x14ac:dyDescent="0.25">
      <c r="A611" s="1"/>
      <c r="B611" s="1"/>
      <c r="C611" s="1"/>
      <c r="D611" s="1"/>
      <c r="E611" s="1"/>
      <c r="F611" s="1"/>
      <c r="G611" s="1"/>
    </row>
    <row r="612" spans="1:7" ht="12.5" x14ac:dyDescent="0.25">
      <c r="A612" s="1"/>
      <c r="B612" s="1"/>
      <c r="C612" s="1"/>
      <c r="D612" s="1"/>
      <c r="E612" s="1"/>
      <c r="F612" s="1"/>
      <c r="G612" s="1"/>
    </row>
    <row r="613" spans="1:7" ht="12.5" x14ac:dyDescent="0.25">
      <c r="A613" s="1"/>
      <c r="B613" s="1"/>
      <c r="C613" s="1"/>
      <c r="D613" s="1"/>
      <c r="E613" s="1"/>
      <c r="F613" s="1"/>
      <c r="G613" s="1"/>
    </row>
    <row r="614" spans="1:7" ht="12.5" x14ac:dyDescent="0.25">
      <c r="A614" s="1"/>
      <c r="B614" s="1"/>
      <c r="C614" s="1"/>
      <c r="D614" s="1"/>
      <c r="E614" s="1"/>
      <c r="F614" s="1"/>
      <c r="G614" s="1"/>
    </row>
    <row r="615" spans="1:7" ht="12.5" x14ac:dyDescent="0.25">
      <c r="A615" s="1"/>
      <c r="B615" s="1"/>
      <c r="C615" s="1"/>
      <c r="D615" s="1"/>
      <c r="E615" s="1"/>
      <c r="F615" s="1"/>
      <c r="G615" s="1"/>
    </row>
    <row r="616" spans="1:7" ht="12.5" x14ac:dyDescent="0.25">
      <c r="A616" s="1"/>
      <c r="B616" s="1"/>
      <c r="C616" s="1"/>
      <c r="D616" s="1"/>
      <c r="E616" s="1"/>
      <c r="F616" s="1"/>
      <c r="G616" s="1"/>
    </row>
    <row r="617" spans="1:7" ht="12.5" x14ac:dyDescent="0.25">
      <c r="A617" s="1"/>
      <c r="B617" s="1"/>
      <c r="C617" s="1"/>
      <c r="D617" s="1"/>
      <c r="E617" s="1"/>
      <c r="F617" s="1"/>
      <c r="G617" s="1"/>
    </row>
    <row r="618" spans="1:7" ht="12.5" x14ac:dyDescent="0.25">
      <c r="A618" s="1"/>
      <c r="B618" s="1"/>
      <c r="C618" s="1"/>
      <c r="D618" s="1"/>
      <c r="E618" s="1"/>
      <c r="F618" s="1"/>
      <c r="G618" s="1"/>
    </row>
    <row r="619" spans="1:7" ht="12.5" x14ac:dyDescent="0.25">
      <c r="A619" s="1"/>
      <c r="B619" s="1"/>
      <c r="C619" s="1"/>
      <c r="D619" s="1"/>
      <c r="E619" s="1"/>
      <c r="F619" s="1"/>
      <c r="G619" s="1"/>
    </row>
    <row r="620" spans="1:7" ht="12.5" x14ac:dyDescent="0.25">
      <c r="A620" s="1"/>
      <c r="B620" s="1"/>
      <c r="C620" s="1"/>
      <c r="D620" s="1"/>
      <c r="E620" s="1"/>
      <c r="F620" s="1"/>
      <c r="G620" s="1"/>
    </row>
    <row r="621" spans="1:7" ht="12.5" x14ac:dyDescent="0.25">
      <c r="A621" s="1"/>
      <c r="B621" s="1"/>
      <c r="C621" s="1"/>
      <c r="D621" s="1"/>
      <c r="E621" s="1"/>
      <c r="F621" s="1"/>
      <c r="G621" s="1"/>
    </row>
    <row r="622" spans="1:7" ht="12.5" x14ac:dyDescent="0.25">
      <c r="A622" s="1"/>
      <c r="B622" s="1"/>
      <c r="C622" s="1"/>
      <c r="D622" s="1"/>
      <c r="E622" s="1"/>
      <c r="F622" s="1"/>
      <c r="G622" s="1"/>
    </row>
    <row r="623" spans="1:7" ht="12.5" x14ac:dyDescent="0.25">
      <c r="A623" s="1"/>
      <c r="B623" s="1"/>
      <c r="C623" s="1"/>
      <c r="D623" s="1"/>
      <c r="E623" s="1"/>
      <c r="F623" s="1"/>
      <c r="G623" s="1"/>
    </row>
    <row r="624" spans="1:7" ht="12.5" x14ac:dyDescent="0.25">
      <c r="A624" s="1"/>
      <c r="B624" s="1"/>
      <c r="C624" s="1"/>
      <c r="D624" s="1"/>
      <c r="E624" s="1"/>
      <c r="F624" s="1"/>
      <c r="G624" s="1"/>
    </row>
    <row r="625" spans="1:7" ht="12.5" x14ac:dyDescent="0.25">
      <c r="A625" s="1"/>
      <c r="B625" s="1"/>
      <c r="C625" s="1"/>
      <c r="D625" s="1"/>
      <c r="E625" s="1"/>
      <c r="F625" s="1"/>
      <c r="G625" s="1"/>
    </row>
    <row r="626" spans="1:7" ht="12.5" x14ac:dyDescent="0.25">
      <c r="A626" s="1"/>
      <c r="B626" s="1"/>
      <c r="C626" s="1"/>
      <c r="D626" s="1"/>
      <c r="E626" s="1"/>
      <c r="F626" s="1"/>
      <c r="G626" s="1"/>
    </row>
    <row r="627" spans="1:7" ht="12.5" x14ac:dyDescent="0.25">
      <c r="A627" s="1"/>
      <c r="B627" s="1"/>
      <c r="C627" s="1"/>
      <c r="D627" s="1"/>
      <c r="E627" s="1"/>
      <c r="F627" s="1"/>
      <c r="G627" s="1"/>
    </row>
    <row r="628" spans="1:7" ht="12.5" x14ac:dyDescent="0.25">
      <c r="A628" s="1"/>
      <c r="B628" s="1"/>
      <c r="C628" s="1"/>
      <c r="D628" s="1"/>
      <c r="E628" s="1"/>
      <c r="F628" s="1"/>
      <c r="G628" s="1"/>
    </row>
    <row r="629" spans="1:7" ht="12.5" x14ac:dyDescent="0.25">
      <c r="A629" s="1"/>
      <c r="B629" s="1"/>
      <c r="C629" s="1"/>
      <c r="D629" s="1"/>
      <c r="E629" s="1"/>
      <c r="F629" s="1"/>
      <c r="G629" s="1"/>
    </row>
    <row r="630" spans="1:7" ht="12.5" x14ac:dyDescent="0.25">
      <c r="A630" s="1"/>
      <c r="B630" s="1"/>
      <c r="C630" s="1"/>
      <c r="D630" s="1"/>
      <c r="E630" s="1"/>
      <c r="F630" s="1"/>
      <c r="G630" s="1"/>
    </row>
    <row r="631" spans="1:7" ht="12.5" x14ac:dyDescent="0.25">
      <c r="A631" s="1"/>
      <c r="B631" s="1"/>
      <c r="C631" s="1"/>
      <c r="D631" s="1"/>
      <c r="E631" s="1"/>
      <c r="F631" s="1"/>
      <c r="G631" s="1"/>
    </row>
    <row r="632" spans="1:7" ht="12.5" x14ac:dyDescent="0.25">
      <c r="A632" s="1"/>
      <c r="B632" s="1"/>
      <c r="C632" s="1"/>
      <c r="D632" s="1"/>
      <c r="E632" s="1"/>
      <c r="F632" s="1"/>
      <c r="G632" s="1"/>
    </row>
    <row r="633" spans="1:7" ht="12.5" x14ac:dyDescent="0.25">
      <c r="A633" s="1"/>
      <c r="B633" s="1"/>
      <c r="C633" s="1"/>
      <c r="D633" s="1"/>
      <c r="E633" s="1"/>
      <c r="F633" s="1"/>
      <c r="G633" s="1"/>
    </row>
    <row r="634" spans="1:7" ht="12.5" x14ac:dyDescent="0.25">
      <c r="A634" s="1"/>
      <c r="B634" s="1"/>
      <c r="C634" s="1"/>
      <c r="D634" s="1"/>
      <c r="E634" s="1"/>
      <c r="F634" s="1"/>
      <c r="G634" s="1"/>
    </row>
    <row r="635" spans="1:7" ht="12.5" x14ac:dyDescent="0.25">
      <c r="A635" s="1"/>
      <c r="B635" s="1"/>
      <c r="C635" s="1"/>
      <c r="D635" s="1"/>
      <c r="E635" s="1"/>
      <c r="F635" s="1"/>
      <c r="G635" s="1"/>
    </row>
    <row r="636" spans="1:7" ht="12.5" x14ac:dyDescent="0.25">
      <c r="A636" s="1"/>
      <c r="B636" s="1"/>
      <c r="C636" s="1"/>
      <c r="D636" s="1"/>
      <c r="E636" s="1"/>
      <c r="F636" s="1"/>
      <c r="G636" s="1"/>
    </row>
    <row r="637" spans="1:7" ht="12.5" x14ac:dyDescent="0.25">
      <c r="A637" s="1"/>
      <c r="B637" s="1"/>
      <c r="C637" s="1"/>
      <c r="D637" s="1"/>
      <c r="E637" s="1"/>
      <c r="F637" s="1"/>
      <c r="G637" s="1"/>
    </row>
    <row r="638" spans="1:7" ht="12.5" x14ac:dyDescent="0.25">
      <c r="A638" s="1"/>
      <c r="B638" s="1"/>
      <c r="C638" s="1"/>
      <c r="D638" s="1"/>
      <c r="E638" s="1"/>
      <c r="F638" s="1"/>
      <c r="G638" s="1"/>
    </row>
    <row r="639" spans="1:7" ht="12.5" x14ac:dyDescent="0.25">
      <c r="A639" s="1"/>
      <c r="B639" s="1"/>
      <c r="C639" s="1"/>
      <c r="D639" s="1"/>
      <c r="E639" s="1"/>
      <c r="F639" s="1"/>
      <c r="G639" s="1"/>
    </row>
    <row r="640" spans="1:7" ht="12.5" x14ac:dyDescent="0.25">
      <c r="A640" s="1"/>
      <c r="B640" s="1"/>
      <c r="C640" s="1"/>
      <c r="D640" s="1"/>
      <c r="E640" s="1"/>
      <c r="F640" s="1"/>
      <c r="G640" s="1"/>
    </row>
    <row r="641" spans="1:7" ht="12.5" x14ac:dyDescent="0.25">
      <c r="A641" s="1"/>
      <c r="B641" s="1"/>
      <c r="C641" s="1"/>
      <c r="D641" s="1"/>
      <c r="E641" s="1"/>
      <c r="F641" s="1"/>
      <c r="G641" s="1"/>
    </row>
    <row r="642" spans="1:7" ht="12.5" x14ac:dyDescent="0.25">
      <c r="A642" s="1"/>
      <c r="B642" s="1"/>
      <c r="C642" s="1"/>
      <c r="D642" s="1"/>
      <c r="E642" s="1"/>
      <c r="F642" s="1"/>
      <c r="G642" s="1"/>
    </row>
    <row r="643" spans="1:7" ht="12.5" x14ac:dyDescent="0.25">
      <c r="A643" s="1"/>
      <c r="B643" s="1"/>
      <c r="C643" s="1"/>
      <c r="D643" s="1"/>
      <c r="E643" s="1"/>
      <c r="F643" s="1"/>
      <c r="G643" s="1"/>
    </row>
    <row r="644" spans="1:7" ht="12.5" x14ac:dyDescent="0.25">
      <c r="A644" s="1"/>
      <c r="B644" s="1"/>
      <c r="C644" s="1"/>
      <c r="D644" s="1"/>
      <c r="E644" s="1"/>
      <c r="F644" s="1"/>
      <c r="G644" s="1"/>
    </row>
    <row r="645" spans="1:7" ht="12.5" x14ac:dyDescent="0.25">
      <c r="A645" s="1"/>
      <c r="B645" s="1"/>
      <c r="C645" s="1"/>
      <c r="D645" s="1"/>
      <c r="E645" s="1"/>
      <c r="F645" s="1"/>
      <c r="G645" s="1"/>
    </row>
    <row r="646" spans="1:7" ht="12.5" x14ac:dyDescent="0.25">
      <c r="A646" s="1"/>
      <c r="B646" s="1"/>
      <c r="C646" s="1"/>
      <c r="D646" s="1"/>
      <c r="E646" s="1"/>
      <c r="F646" s="1"/>
      <c r="G646" s="1"/>
    </row>
    <row r="647" spans="1:7" ht="12.5" x14ac:dyDescent="0.25">
      <c r="A647" s="1"/>
      <c r="B647" s="1"/>
      <c r="C647" s="1"/>
      <c r="D647" s="1"/>
      <c r="E647" s="1"/>
      <c r="F647" s="1"/>
      <c r="G647" s="1"/>
    </row>
    <row r="648" spans="1:7" ht="12.5" x14ac:dyDescent="0.25">
      <c r="A648" s="1"/>
      <c r="B648" s="1"/>
      <c r="C648" s="1"/>
      <c r="D648" s="1"/>
      <c r="E648" s="1"/>
      <c r="F648" s="1"/>
      <c r="G648" s="1"/>
    </row>
    <row r="649" spans="1:7" ht="12.5" x14ac:dyDescent="0.25">
      <c r="A649" s="1"/>
      <c r="B649" s="1"/>
      <c r="C649" s="1"/>
      <c r="D649" s="1"/>
      <c r="E649" s="1"/>
      <c r="F649" s="1"/>
      <c r="G649" s="1"/>
    </row>
    <row r="650" spans="1:7" ht="12.5" x14ac:dyDescent="0.25">
      <c r="A650" s="1"/>
      <c r="B650" s="1"/>
      <c r="C650" s="1"/>
      <c r="D650" s="1"/>
      <c r="E650" s="1"/>
      <c r="F650" s="1"/>
      <c r="G650" s="1"/>
    </row>
    <row r="651" spans="1:7" ht="12.5" x14ac:dyDescent="0.25">
      <c r="A651" s="1"/>
      <c r="B651" s="1"/>
      <c r="C651" s="1"/>
      <c r="D651" s="1"/>
      <c r="E651" s="1"/>
      <c r="F651" s="1"/>
      <c r="G651" s="1"/>
    </row>
    <row r="652" spans="1:7" ht="12.5" x14ac:dyDescent="0.25">
      <c r="A652" s="1"/>
      <c r="B652" s="1"/>
      <c r="C652" s="1"/>
      <c r="D652" s="1"/>
      <c r="E652" s="1"/>
      <c r="F652" s="1"/>
      <c r="G652" s="1"/>
    </row>
    <row r="653" spans="1:7" ht="12.5" x14ac:dyDescent="0.25">
      <c r="A653" s="1"/>
      <c r="B653" s="1"/>
      <c r="C653" s="1"/>
      <c r="D653" s="1"/>
      <c r="E653" s="1"/>
      <c r="F653" s="1"/>
      <c r="G653" s="1"/>
    </row>
    <row r="654" spans="1:7" ht="12.5" x14ac:dyDescent="0.25">
      <c r="A654" s="1"/>
      <c r="B654" s="1"/>
      <c r="C654" s="1"/>
      <c r="D654" s="1"/>
      <c r="E654" s="1"/>
      <c r="F654" s="1"/>
      <c r="G654" s="1"/>
    </row>
    <row r="655" spans="1:7" ht="12.5" x14ac:dyDescent="0.25">
      <c r="A655" s="1"/>
      <c r="B655" s="1"/>
      <c r="C655" s="1"/>
      <c r="D655" s="1"/>
      <c r="E655" s="1"/>
      <c r="F655" s="1"/>
      <c r="G655" s="1"/>
    </row>
    <row r="656" spans="1:7" ht="12.5" x14ac:dyDescent="0.25">
      <c r="A656" s="1"/>
      <c r="B656" s="1"/>
      <c r="C656" s="1"/>
      <c r="D656" s="1"/>
      <c r="E656" s="1"/>
      <c r="F656" s="1"/>
      <c r="G656" s="1"/>
    </row>
    <row r="657" spans="1:7" ht="12.5" x14ac:dyDescent="0.25">
      <c r="A657" s="1"/>
      <c r="B657" s="1"/>
      <c r="C657" s="1"/>
      <c r="D657" s="1"/>
      <c r="E657" s="1"/>
      <c r="F657" s="1"/>
      <c r="G657" s="1"/>
    </row>
    <row r="658" spans="1:7" ht="12.5" x14ac:dyDescent="0.25">
      <c r="A658" s="1"/>
      <c r="B658" s="1"/>
      <c r="C658" s="1"/>
      <c r="D658" s="1"/>
      <c r="E658" s="1"/>
      <c r="F658" s="1"/>
      <c r="G658" s="1"/>
    </row>
    <row r="659" spans="1:7" ht="12.5" x14ac:dyDescent="0.25">
      <c r="A659" s="1"/>
      <c r="B659" s="1"/>
      <c r="C659" s="1"/>
      <c r="D659" s="1"/>
      <c r="E659" s="1"/>
      <c r="F659" s="1"/>
      <c r="G659" s="1"/>
    </row>
    <row r="660" spans="1:7" ht="12.5" x14ac:dyDescent="0.25">
      <c r="A660" s="1"/>
      <c r="B660" s="1"/>
      <c r="C660" s="1"/>
      <c r="D660" s="1"/>
      <c r="E660" s="1"/>
      <c r="F660" s="1"/>
      <c r="G660" s="1"/>
    </row>
    <row r="661" spans="1:7" ht="12.5" x14ac:dyDescent="0.25">
      <c r="A661" s="1"/>
      <c r="B661" s="1"/>
      <c r="C661" s="1"/>
      <c r="D661" s="1"/>
      <c r="E661" s="1"/>
      <c r="F661" s="1"/>
      <c r="G661" s="1"/>
    </row>
    <row r="662" spans="1:7" ht="12.5" x14ac:dyDescent="0.25">
      <c r="A662" s="1"/>
      <c r="B662" s="1"/>
      <c r="C662" s="1"/>
      <c r="D662" s="1"/>
      <c r="E662" s="1"/>
      <c r="F662" s="1"/>
      <c r="G662" s="1"/>
    </row>
    <row r="663" spans="1:7" ht="12.5" x14ac:dyDescent="0.25">
      <c r="A663" s="1"/>
      <c r="B663" s="1"/>
      <c r="C663" s="1"/>
      <c r="D663" s="1"/>
      <c r="E663" s="1"/>
      <c r="F663" s="1"/>
      <c r="G663" s="1"/>
    </row>
    <row r="664" spans="1:7" ht="12.5" x14ac:dyDescent="0.25">
      <c r="A664" s="1"/>
      <c r="B664" s="1"/>
      <c r="C664" s="1"/>
      <c r="D664" s="1"/>
      <c r="E664" s="1"/>
      <c r="F664" s="1"/>
      <c r="G664" s="1"/>
    </row>
    <row r="665" spans="1:7" ht="12.5" x14ac:dyDescent="0.25">
      <c r="A665" s="1"/>
      <c r="B665" s="1"/>
      <c r="C665" s="1"/>
      <c r="D665" s="1"/>
      <c r="E665" s="1"/>
      <c r="F665" s="1"/>
      <c r="G665" s="1"/>
    </row>
    <row r="666" spans="1:7" ht="12.5" x14ac:dyDescent="0.25">
      <c r="A666" s="1"/>
      <c r="B666" s="1"/>
      <c r="C666" s="1"/>
      <c r="D666" s="1"/>
      <c r="E666" s="1"/>
      <c r="F666" s="1"/>
      <c r="G666" s="1"/>
    </row>
    <row r="667" spans="1:7" ht="12.5" x14ac:dyDescent="0.25">
      <c r="A667" s="1"/>
      <c r="B667" s="1"/>
      <c r="C667" s="1"/>
      <c r="D667" s="1"/>
      <c r="E667" s="1"/>
      <c r="F667" s="1"/>
      <c r="G667" s="1"/>
    </row>
    <row r="668" spans="1:7" ht="12.5" x14ac:dyDescent="0.25">
      <c r="A668" s="1"/>
      <c r="B668" s="1"/>
      <c r="C668" s="1"/>
      <c r="D668" s="1"/>
      <c r="E668" s="1"/>
      <c r="F668" s="1"/>
      <c r="G668" s="1"/>
    </row>
    <row r="669" spans="1:7" ht="12.5" x14ac:dyDescent="0.25">
      <c r="A669" s="1"/>
      <c r="B669" s="1"/>
      <c r="C669" s="1"/>
      <c r="D669" s="1"/>
      <c r="E669" s="1"/>
      <c r="F669" s="1"/>
      <c r="G669" s="1"/>
    </row>
    <row r="670" spans="1:7" ht="12.5" x14ac:dyDescent="0.25">
      <c r="A670" s="1"/>
      <c r="B670" s="1"/>
      <c r="C670" s="1"/>
      <c r="D670" s="1"/>
      <c r="E670" s="1"/>
      <c r="F670" s="1"/>
      <c r="G670" s="1"/>
    </row>
    <row r="671" spans="1:7" ht="12.5" x14ac:dyDescent="0.25">
      <c r="A671" s="1"/>
      <c r="B671" s="1"/>
      <c r="C671" s="1"/>
      <c r="D671" s="1"/>
      <c r="E671" s="1"/>
      <c r="F671" s="1"/>
      <c r="G671" s="1"/>
    </row>
    <row r="672" spans="1:7" ht="12.5" x14ac:dyDescent="0.25">
      <c r="A672" s="1"/>
      <c r="B672" s="1"/>
      <c r="C672" s="1"/>
      <c r="D672" s="1"/>
      <c r="E672" s="1"/>
      <c r="F672" s="1"/>
      <c r="G672" s="1"/>
    </row>
    <row r="673" spans="1:7" ht="12.5" x14ac:dyDescent="0.25">
      <c r="A673" s="1"/>
      <c r="B673" s="1"/>
      <c r="C673" s="1"/>
      <c r="D673" s="1"/>
      <c r="E673" s="1"/>
      <c r="F673" s="1"/>
      <c r="G673" s="1"/>
    </row>
    <row r="674" spans="1:7" ht="12.5" x14ac:dyDescent="0.25">
      <c r="A674" s="1"/>
      <c r="B674" s="1"/>
      <c r="C674" s="1"/>
      <c r="D674" s="1"/>
      <c r="E674" s="1"/>
      <c r="F674" s="1"/>
      <c r="G674" s="1"/>
    </row>
    <row r="675" spans="1:7" ht="12.5" x14ac:dyDescent="0.25">
      <c r="A675" s="1"/>
      <c r="B675" s="1"/>
      <c r="C675" s="1"/>
      <c r="D675" s="1"/>
      <c r="E675" s="1"/>
      <c r="F675" s="1"/>
      <c r="G675" s="1"/>
    </row>
    <row r="676" spans="1:7" ht="12.5" x14ac:dyDescent="0.25">
      <c r="A676" s="1"/>
      <c r="B676" s="1"/>
      <c r="C676" s="1"/>
      <c r="D676" s="1"/>
      <c r="E676" s="1"/>
      <c r="F676" s="1"/>
      <c r="G676" s="1"/>
    </row>
    <row r="677" spans="1:7" ht="12.5" x14ac:dyDescent="0.25">
      <c r="A677" s="1"/>
      <c r="B677" s="1"/>
      <c r="C677" s="1"/>
      <c r="D677" s="1"/>
      <c r="E677" s="1"/>
      <c r="F677" s="1"/>
      <c r="G677" s="1"/>
    </row>
    <row r="678" spans="1:7" ht="12.5" x14ac:dyDescent="0.25">
      <c r="A678" s="1"/>
      <c r="B678" s="1"/>
      <c r="C678" s="1"/>
      <c r="D678" s="1"/>
      <c r="E678" s="1"/>
      <c r="F678" s="1"/>
      <c r="G678" s="1"/>
    </row>
    <row r="679" spans="1:7" ht="12.5" x14ac:dyDescent="0.25">
      <c r="A679" s="1"/>
      <c r="B679" s="1"/>
      <c r="C679" s="1"/>
      <c r="D679" s="1"/>
      <c r="E679" s="1"/>
      <c r="F679" s="1"/>
      <c r="G679" s="1"/>
    </row>
    <row r="680" spans="1:7" ht="12.5" x14ac:dyDescent="0.25">
      <c r="A680" s="1"/>
      <c r="B680" s="1"/>
      <c r="C680" s="1"/>
      <c r="D680" s="1"/>
      <c r="E680" s="1"/>
      <c r="F680" s="1"/>
      <c r="G680" s="1"/>
    </row>
    <row r="681" spans="1:7" ht="12.5" x14ac:dyDescent="0.25">
      <c r="A681" s="1"/>
      <c r="B681" s="1"/>
      <c r="C681" s="1"/>
      <c r="D681" s="1"/>
      <c r="E681" s="1"/>
      <c r="F681" s="1"/>
      <c r="G681" s="1"/>
    </row>
    <row r="682" spans="1:7" ht="12.5" x14ac:dyDescent="0.25">
      <c r="A682" s="1"/>
      <c r="B682" s="1"/>
      <c r="C682" s="1"/>
      <c r="D682" s="1"/>
      <c r="E682" s="1"/>
      <c r="F682" s="1"/>
      <c r="G682" s="1"/>
    </row>
    <row r="683" spans="1:7" ht="12.5" x14ac:dyDescent="0.25">
      <c r="A683" s="1"/>
      <c r="B683" s="1"/>
      <c r="C683" s="1"/>
      <c r="D683" s="1"/>
      <c r="E683" s="1"/>
      <c r="F683" s="1"/>
      <c r="G683" s="1"/>
    </row>
    <row r="684" spans="1:7" ht="12.5" x14ac:dyDescent="0.25">
      <c r="A684" s="1"/>
      <c r="B684" s="1"/>
      <c r="C684" s="1"/>
      <c r="D684" s="1"/>
      <c r="E684" s="1"/>
      <c r="F684" s="1"/>
      <c r="G684" s="1"/>
    </row>
    <row r="685" spans="1:7" ht="12.5" x14ac:dyDescent="0.25">
      <c r="A685" s="1"/>
      <c r="B685" s="1"/>
      <c r="C685" s="1"/>
      <c r="D685" s="1"/>
      <c r="E685" s="1"/>
      <c r="F685" s="1"/>
      <c r="G685" s="1"/>
    </row>
    <row r="686" spans="1:7" ht="12.5" x14ac:dyDescent="0.25">
      <c r="A686" s="1"/>
      <c r="B686" s="1"/>
      <c r="C686" s="1"/>
      <c r="D686" s="1"/>
      <c r="E686" s="1"/>
      <c r="F686" s="1"/>
      <c r="G686" s="1"/>
    </row>
    <row r="687" spans="1:7" ht="12.5" x14ac:dyDescent="0.25">
      <c r="A687" s="1"/>
      <c r="B687" s="1"/>
      <c r="C687" s="1"/>
      <c r="D687" s="1"/>
      <c r="E687" s="1"/>
      <c r="F687" s="1"/>
      <c r="G687" s="1"/>
    </row>
    <row r="688" spans="1:7" ht="12.5" x14ac:dyDescent="0.25">
      <c r="A688" s="1"/>
      <c r="B688" s="1"/>
      <c r="C688" s="1"/>
      <c r="D688" s="1"/>
      <c r="E688" s="1"/>
      <c r="F688" s="1"/>
      <c r="G688" s="1"/>
    </row>
    <row r="689" spans="1:7" ht="12.5" x14ac:dyDescent="0.25">
      <c r="A689" s="1"/>
      <c r="B689" s="1"/>
      <c r="C689" s="1"/>
      <c r="D689" s="1"/>
      <c r="E689" s="1"/>
      <c r="F689" s="1"/>
      <c r="G689" s="1"/>
    </row>
    <row r="690" spans="1:7" ht="12.5" x14ac:dyDescent="0.25">
      <c r="A690" s="1"/>
      <c r="B690" s="1"/>
      <c r="C690" s="1"/>
      <c r="D690" s="1"/>
      <c r="E690" s="1"/>
      <c r="F690" s="1"/>
      <c r="G690" s="1"/>
    </row>
    <row r="691" spans="1:7" ht="12.5" x14ac:dyDescent="0.25">
      <c r="A691" s="1"/>
      <c r="B691" s="1"/>
      <c r="C691" s="1"/>
      <c r="D691" s="1"/>
      <c r="E691" s="1"/>
      <c r="F691" s="1"/>
      <c r="G691" s="1"/>
    </row>
    <row r="692" spans="1:7" ht="12.5" x14ac:dyDescent="0.25">
      <c r="A692" s="1"/>
      <c r="B692" s="1"/>
      <c r="C692" s="1"/>
      <c r="D692" s="1"/>
      <c r="E692" s="1"/>
      <c r="F692" s="1"/>
      <c r="G692" s="1"/>
    </row>
    <row r="693" spans="1:7" ht="12.5" x14ac:dyDescent="0.25">
      <c r="A693" s="1"/>
      <c r="B693" s="1"/>
      <c r="C693" s="1"/>
      <c r="D693" s="1"/>
      <c r="E693" s="1"/>
      <c r="F693" s="1"/>
      <c r="G693" s="1"/>
    </row>
    <row r="694" spans="1:7" ht="12.5" x14ac:dyDescent="0.25">
      <c r="A694" s="1"/>
      <c r="B694" s="1"/>
      <c r="C694" s="1"/>
      <c r="D694" s="1"/>
      <c r="E694" s="1"/>
      <c r="F694" s="1"/>
      <c r="G694" s="1"/>
    </row>
    <row r="695" spans="1:7" ht="12.5" x14ac:dyDescent="0.25">
      <c r="A695" s="1"/>
      <c r="B695" s="1"/>
      <c r="C695" s="1"/>
      <c r="D695" s="1"/>
      <c r="E695" s="1"/>
      <c r="F695" s="1"/>
      <c r="G695" s="1"/>
    </row>
    <row r="696" spans="1:7" ht="12.5" x14ac:dyDescent="0.25">
      <c r="A696" s="1"/>
      <c r="B696" s="1"/>
      <c r="C696" s="1"/>
      <c r="D696" s="1"/>
      <c r="E696" s="1"/>
      <c r="F696" s="1"/>
      <c r="G696" s="1"/>
    </row>
    <row r="697" spans="1:7" ht="12.5" x14ac:dyDescent="0.25">
      <c r="A697" s="1"/>
      <c r="B697" s="1"/>
      <c r="C697" s="1"/>
      <c r="D697" s="1"/>
      <c r="E697" s="1"/>
      <c r="F697" s="1"/>
      <c r="G697" s="1"/>
    </row>
    <row r="698" spans="1:7" ht="12.5" x14ac:dyDescent="0.25">
      <c r="A698" s="1"/>
      <c r="B698" s="1"/>
      <c r="C698" s="1"/>
      <c r="D698" s="1"/>
      <c r="E698" s="1"/>
      <c r="F698" s="1"/>
      <c r="G698" s="1"/>
    </row>
    <row r="699" spans="1:7" ht="12.5" x14ac:dyDescent="0.25">
      <c r="A699" s="1"/>
      <c r="B699" s="1"/>
      <c r="C699" s="1"/>
      <c r="D699" s="1"/>
      <c r="E699" s="1"/>
      <c r="F699" s="1"/>
      <c r="G699" s="1"/>
    </row>
    <row r="700" spans="1:7" ht="12.5" x14ac:dyDescent="0.25">
      <c r="A700" s="1"/>
      <c r="B700" s="1"/>
      <c r="C700" s="1"/>
      <c r="D700" s="1"/>
      <c r="E700" s="1"/>
      <c r="F700" s="1"/>
      <c r="G700" s="1"/>
    </row>
    <row r="701" spans="1:7" ht="12.5" x14ac:dyDescent="0.25">
      <c r="A701" s="1"/>
      <c r="B701" s="1"/>
      <c r="C701" s="1"/>
      <c r="D701" s="1"/>
      <c r="E701" s="1"/>
      <c r="F701" s="1"/>
      <c r="G701" s="1"/>
    </row>
    <row r="702" spans="1:7" ht="12.5" x14ac:dyDescent="0.25">
      <c r="A702" s="1"/>
      <c r="B702" s="1"/>
      <c r="C702" s="1"/>
      <c r="D702" s="1"/>
      <c r="E702" s="1"/>
      <c r="F702" s="1"/>
      <c r="G702" s="1"/>
    </row>
    <row r="703" spans="1:7" ht="12.5" x14ac:dyDescent="0.25">
      <c r="A703" s="1"/>
      <c r="B703" s="1"/>
      <c r="C703" s="1"/>
      <c r="D703" s="1"/>
      <c r="E703" s="1"/>
      <c r="F703" s="1"/>
      <c r="G703" s="1"/>
    </row>
    <row r="704" spans="1:7" ht="12.5" x14ac:dyDescent="0.25">
      <c r="A704" s="1"/>
      <c r="B704" s="1"/>
      <c r="C704" s="1"/>
      <c r="D704" s="1"/>
      <c r="E704" s="1"/>
      <c r="F704" s="1"/>
      <c r="G704" s="1"/>
    </row>
    <row r="705" spans="1:7" ht="12.5" x14ac:dyDescent="0.25">
      <c r="A705" s="1"/>
      <c r="B705" s="1"/>
      <c r="C705" s="1"/>
      <c r="D705" s="1"/>
      <c r="E705" s="1"/>
      <c r="F705" s="1"/>
      <c r="G705" s="1"/>
    </row>
    <row r="706" spans="1:7" ht="12.5" x14ac:dyDescent="0.25">
      <c r="A706" s="1"/>
      <c r="B706" s="1"/>
      <c r="C706" s="1"/>
      <c r="D706" s="1"/>
      <c r="E706" s="1"/>
      <c r="F706" s="1"/>
      <c r="G706" s="1"/>
    </row>
    <row r="707" spans="1:7" ht="12.5" x14ac:dyDescent="0.25">
      <c r="A707" s="1"/>
      <c r="B707" s="1"/>
      <c r="C707" s="1"/>
      <c r="D707" s="1"/>
      <c r="E707" s="1"/>
      <c r="F707" s="1"/>
      <c r="G707" s="1"/>
    </row>
    <row r="708" spans="1:7" ht="12.5" x14ac:dyDescent="0.25">
      <c r="A708" s="1"/>
      <c r="B708" s="1"/>
      <c r="C708" s="1"/>
      <c r="D708" s="1"/>
      <c r="E708" s="1"/>
      <c r="F708" s="1"/>
      <c r="G708" s="1"/>
    </row>
    <row r="709" spans="1:7" ht="12.5" x14ac:dyDescent="0.25">
      <c r="A709" s="1"/>
      <c r="B709" s="1"/>
      <c r="C709" s="1"/>
      <c r="D709" s="1"/>
      <c r="E709" s="1"/>
      <c r="F709" s="1"/>
      <c r="G709" s="1"/>
    </row>
    <row r="710" spans="1:7" ht="12.5" x14ac:dyDescent="0.25">
      <c r="A710" s="1"/>
      <c r="B710" s="1"/>
      <c r="C710" s="1"/>
      <c r="D710" s="1"/>
      <c r="E710" s="1"/>
      <c r="F710" s="1"/>
      <c r="G710" s="1"/>
    </row>
    <row r="711" spans="1:7" ht="12.5" x14ac:dyDescent="0.25">
      <c r="A711" s="1"/>
      <c r="B711" s="1"/>
      <c r="C711" s="1"/>
      <c r="D711" s="1"/>
      <c r="E711" s="1"/>
      <c r="F711" s="1"/>
      <c r="G711" s="1"/>
    </row>
    <row r="712" spans="1:7" ht="12.5" x14ac:dyDescent="0.25">
      <c r="A712" s="1"/>
      <c r="B712" s="1"/>
      <c r="C712" s="1"/>
      <c r="D712" s="1"/>
      <c r="E712" s="1"/>
      <c r="F712" s="1"/>
      <c r="G712" s="1"/>
    </row>
    <row r="713" spans="1:7" ht="12.5" x14ac:dyDescent="0.25">
      <c r="A713" s="1"/>
      <c r="B713" s="1"/>
      <c r="C713" s="1"/>
      <c r="D713" s="1"/>
      <c r="E713" s="1"/>
      <c r="F713" s="1"/>
      <c r="G713" s="1"/>
    </row>
    <row r="714" spans="1:7" ht="12.5" x14ac:dyDescent="0.25">
      <c r="A714" s="1"/>
      <c r="B714" s="1"/>
      <c r="C714" s="1"/>
      <c r="D714" s="1"/>
      <c r="E714" s="1"/>
      <c r="F714" s="1"/>
      <c r="G714" s="1"/>
    </row>
    <row r="715" spans="1:7" ht="12.5" x14ac:dyDescent="0.25">
      <c r="A715" s="1"/>
      <c r="B715" s="1"/>
      <c r="C715" s="1"/>
      <c r="D715" s="1"/>
      <c r="E715" s="1"/>
      <c r="F715" s="1"/>
      <c r="G715" s="1"/>
    </row>
    <row r="716" spans="1:7" ht="12.5" x14ac:dyDescent="0.25">
      <c r="A716" s="1"/>
      <c r="B716" s="1"/>
      <c r="C716" s="1"/>
      <c r="D716" s="1"/>
      <c r="E716" s="1"/>
      <c r="F716" s="1"/>
      <c r="G716" s="1"/>
    </row>
    <row r="717" spans="1:7" ht="12.5" x14ac:dyDescent="0.25">
      <c r="A717" s="1"/>
      <c r="B717" s="1"/>
      <c r="C717" s="1"/>
      <c r="D717" s="1"/>
      <c r="E717" s="1"/>
      <c r="F717" s="1"/>
      <c r="G717" s="1"/>
    </row>
    <row r="718" spans="1:7" ht="12.5" x14ac:dyDescent="0.25">
      <c r="A718" s="1"/>
      <c r="B718" s="1"/>
      <c r="C718" s="1"/>
      <c r="D718" s="1"/>
      <c r="E718" s="1"/>
      <c r="F718" s="1"/>
      <c r="G718" s="1"/>
    </row>
    <row r="719" spans="1:7" ht="12.5" x14ac:dyDescent="0.25">
      <c r="A719" s="1"/>
      <c r="B719" s="1"/>
      <c r="C719" s="1"/>
      <c r="D719" s="1"/>
      <c r="E719" s="1"/>
      <c r="F719" s="1"/>
      <c r="G719" s="1"/>
    </row>
    <row r="720" spans="1:7" ht="12.5" x14ac:dyDescent="0.25">
      <c r="A720" s="1"/>
      <c r="B720" s="1"/>
      <c r="C720" s="1"/>
      <c r="D720" s="1"/>
      <c r="E720" s="1"/>
      <c r="F720" s="1"/>
      <c r="G720" s="1"/>
    </row>
    <row r="721" spans="1:7" ht="12.5" x14ac:dyDescent="0.25">
      <c r="A721" s="1"/>
      <c r="B721" s="1"/>
      <c r="C721" s="1"/>
      <c r="D721" s="1"/>
      <c r="E721" s="1"/>
      <c r="F721" s="1"/>
      <c r="G721" s="1"/>
    </row>
    <row r="722" spans="1:7" ht="12.5" x14ac:dyDescent="0.25">
      <c r="A722" s="1"/>
      <c r="B722" s="1"/>
      <c r="C722" s="1"/>
      <c r="D722" s="1"/>
      <c r="E722" s="1"/>
      <c r="F722" s="1"/>
      <c r="G722" s="1"/>
    </row>
    <row r="723" spans="1:7" ht="12.5" x14ac:dyDescent="0.25">
      <c r="A723" s="1"/>
      <c r="B723" s="1"/>
      <c r="C723" s="1"/>
      <c r="D723" s="1"/>
      <c r="E723" s="1"/>
      <c r="F723" s="1"/>
      <c r="G723" s="1"/>
    </row>
    <row r="724" spans="1:7" ht="12.5" x14ac:dyDescent="0.25">
      <c r="A724" s="1"/>
      <c r="B724" s="1"/>
      <c r="C724" s="1"/>
      <c r="D724" s="1"/>
      <c r="E724" s="1"/>
      <c r="F724" s="1"/>
      <c r="G724" s="1"/>
    </row>
    <row r="725" spans="1:7" ht="12.5" x14ac:dyDescent="0.25">
      <c r="A725" s="1"/>
      <c r="B725" s="1"/>
      <c r="C725" s="1"/>
      <c r="D725" s="1"/>
      <c r="E725" s="1"/>
      <c r="F725" s="1"/>
      <c r="G725" s="1"/>
    </row>
    <row r="726" spans="1:7" ht="12.5" x14ac:dyDescent="0.25">
      <c r="A726" s="1"/>
      <c r="B726" s="1"/>
      <c r="C726" s="1"/>
      <c r="D726" s="1"/>
      <c r="E726" s="1"/>
      <c r="F726" s="1"/>
      <c r="G726" s="1"/>
    </row>
    <row r="727" spans="1:7" ht="12.5" x14ac:dyDescent="0.25">
      <c r="A727" s="1"/>
      <c r="B727" s="1"/>
      <c r="C727" s="1"/>
      <c r="D727" s="1"/>
      <c r="E727" s="1"/>
      <c r="F727" s="1"/>
      <c r="G727" s="1"/>
    </row>
    <row r="728" spans="1:7" ht="12.5" x14ac:dyDescent="0.25">
      <c r="A728" s="1"/>
      <c r="B728" s="1"/>
      <c r="C728" s="1"/>
      <c r="D728" s="1"/>
      <c r="E728" s="1"/>
      <c r="F728" s="1"/>
      <c r="G728" s="1"/>
    </row>
    <row r="729" spans="1:7" ht="12.5" x14ac:dyDescent="0.25">
      <c r="A729" s="1"/>
      <c r="B729" s="1"/>
      <c r="C729" s="1"/>
      <c r="D729" s="1"/>
      <c r="E729" s="1"/>
      <c r="F729" s="1"/>
      <c r="G729" s="1"/>
    </row>
    <row r="730" spans="1:7" ht="12.5" x14ac:dyDescent="0.25">
      <c r="A730" s="1"/>
      <c r="B730" s="1"/>
      <c r="C730" s="1"/>
      <c r="D730" s="1"/>
      <c r="E730" s="1"/>
      <c r="F730" s="1"/>
      <c r="G730" s="1"/>
    </row>
    <row r="731" spans="1:7" ht="12.5" x14ac:dyDescent="0.25">
      <c r="A731" s="1"/>
      <c r="B731" s="1"/>
      <c r="C731" s="1"/>
      <c r="D731" s="1"/>
      <c r="E731" s="1"/>
      <c r="F731" s="1"/>
      <c r="G731" s="1"/>
    </row>
    <row r="732" spans="1:7" ht="12.5" x14ac:dyDescent="0.25">
      <c r="A732" s="1"/>
      <c r="B732" s="1"/>
      <c r="C732" s="1"/>
      <c r="D732" s="1"/>
      <c r="E732" s="1"/>
      <c r="F732" s="1"/>
      <c r="G732" s="1"/>
    </row>
    <row r="733" spans="1:7" ht="12.5" x14ac:dyDescent="0.25">
      <c r="A733" s="1"/>
      <c r="B733" s="1"/>
      <c r="C733" s="1"/>
      <c r="D733" s="1"/>
      <c r="E733" s="1"/>
      <c r="F733" s="1"/>
      <c r="G733" s="1"/>
    </row>
    <row r="734" spans="1:7" ht="12.5" x14ac:dyDescent="0.25">
      <c r="A734" s="1"/>
      <c r="B734" s="1"/>
      <c r="C734" s="1"/>
      <c r="D734" s="1"/>
      <c r="E734" s="1"/>
      <c r="F734" s="1"/>
      <c r="G734" s="1"/>
    </row>
    <row r="735" spans="1:7" ht="12.5" x14ac:dyDescent="0.25">
      <c r="A735" s="1"/>
      <c r="B735" s="1"/>
      <c r="C735" s="1"/>
      <c r="D735" s="1"/>
      <c r="E735" s="1"/>
      <c r="F735" s="1"/>
      <c r="G735" s="1"/>
    </row>
    <row r="736" spans="1:7" ht="12.5" x14ac:dyDescent="0.25">
      <c r="A736" s="1"/>
      <c r="B736" s="1"/>
      <c r="C736" s="1"/>
      <c r="D736" s="1"/>
      <c r="E736" s="1"/>
      <c r="F736" s="1"/>
      <c r="G736" s="1"/>
    </row>
    <row r="737" spans="1:7" ht="12.5" x14ac:dyDescent="0.25">
      <c r="A737" s="1"/>
      <c r="B737" s="1"/>
      <c r="C737" s="1"/>
      <c r="D737" s="1"/>
      <c r="E737" s="1"/>
      <c r="F737" s="1"/>
      <c r="G737" s="1"/>
    </row>
    <row r="738" spans="1:7" ht="12.5" x14ac:dyDescent="0.25">
      <c r="A738" s="1"/>
      <c r="B738" s="1"/>
      <c r="C738" s="1"/>
      <c r="D738" s="1"/>
      <c r="E738" s="1"/>
      <c r="F738" s="1"/>
      <c r="G738" s="1"/>
    </row>
    <row r="739" spans="1:7" ht="12.5" x14ac:dyDescent="0.25">
      <c r="A739" s="1"/>
      <c r="B739" s="1"/>
      <c r="C739" s="1"/>
      <c r="D739" s="1"/>
      <c r="E739" s="1"/>
      <c r="F739" s="1"/>
      <c r="G739" s="1"/>
    </row>
    <row r="740" spans="1:7" ht="12.5" x14ac:dyDescent="0.25">
      <c r="A740" s="1"/>
      <c r="B740" s="1"/>
      <c r="C740" s="1"/>
      <c r="D740" s="1"/>
      <c r="E740" s="1"/>
      <c r="F740" s="1"/>
      <c r="G740" s="1"/>
    </row>
    <row r="741" spans="1:7" ht="12.5" x14ac:dyDescent="0.25">
      <c r="A741" s="1"/>
      <c r="B741" s="1"/>
      <c r="C741" s="1"/>
      <c r="D741" s="1"/>
      <c r="E741" s="1"/>
      <c r="F741" s="1"/>
      <c r="G741" s="1"/>
    </row>
    <row r="742" spans="1:7" ht="12.5" x14ac:dyDescent="0.25">
      <c r="A742" s="1"/>
      <c r="B742" s="1"/>
      <c r="C742" s="1"/>
      <c r="D742" s="1"/>
      <c r="E742" s="1"/>
      <c r="F742" s="1"/>
      <c r="G742" s="1"/>
    </row>
    <row r="743" spans="1:7" ht="12.5" x14ac:dyDescent="0.25">
      <c r="A743" s="1"/>
      <c r="B743" s="1"/>
      <c r="C743" s="1"/>
      <c r="D743" s="1"/>
      <c r="E743" s="1"/>
      <c r="F743" s="1"/>
      <c r="G743" s="1"/>
    </row>
    <row r="744" spans="1:7" ht="12.5" x14ac:dyDescent="0.25">
      <c r="A744" s="1"/>
      <c r="B744" s="1"/>
      <c r="C744" s="1"/>
      <c r="D744" s="1"/>
      <c r="E744" s="1"/>
      <c r="F744" s="1"/>
      <c r="G744" s="1"/>
    </row>
    <row r="745" spans="1:7" ht="12.5" x14ac:dyDescent="0.25">
      <c r="A745" s="1"/>
      <c r="B745" s="1"/>
      <c r="C745" s="1"/>
      <c r="D745" s="1"/>
      <c r="E745" s="1"/>
      <c r="F745" s="1"/>
      <c r="G745" s="1"/>
    </row>
    <row r="746" spans="1:7" ht="12.5" x14ac:dyDescent="0.25">
      <c r="A746" s="1"/>
      <c r="B746" s="1"/>
      <c r="C746" s="1"/>
      <c r="D746" s="1"/>
      <c r="E746" s="1"/>
      <c r="F746" s="1"/>
      <c r="G746" s="1"/>
    </row>
    <row r="747" spans="1:7" ht="12.5" x14ac:dyDescent="0.25">
      <c r="A747" s="1"/>
      <c r="B747" s="1"/>
      <c r="C747" s="1"/>
      <c r="D747" s="1"/>
      <c r="E747" s="1"/>
      <c r="F747" s="1"/>
      <c r="G747" s="1"/>
    </row>
    <row r="748" spans="1:7" ht="12.5" x14ac:dyDescent="0.25">
      <c r="A748" s="1"/>
      <c r="B748" s="1"/>
      <c r="C748" s="1"/>
      <c r="D748" s="1"/>
      <c r="E748" s="1"/>
      <c r="F748" s="1"/>
      <c r="G748" s="1"/>
    </row>
    <row r="749" spans="1:7" ht="12.5" x14ac:dyDescent="0.25">
      <c r="A749" s="1"/>
      <c r="B749" s="1"/>
      <c r="C749" s="1"/>
      <c r="D749" s="1"/>
      <c r="E749" s="1"/>
      <c r="F749" s="1"/>
      <c r="G749" s="1"/>
    </row>
    <row r="750" spans="1:7" ht="12.5" x14ac:dyDescent="0.25">
      <c r="A750" s="1"/>
      <c r="B750" s="1"/>
      <c r="C750" s="1"/>
      <c r="D750" s="1"/>
      <c r="E750" s="1"/>
      <c r="F750" s="1"/>
      <c r="G750" s="1"/>
    </row>
    <row r="751" spans="1:7" ht="12.5" x14ac:dyDescent="0.25">
      <c r="A751" s="1"/>
      <c r="B751" s="1"/>
      <c r="C751" s="1"/>
      <c r="D751" s="1"/>
      <c r="E751" s="1"/>
      <c r="F751" s="1"/>
      <c r="G751" s="1"/>
    </row>
    <row r="752" spans="1:7" ht="12.5" x14ac:dyDescent="0.25">
      <c r="A752" s="1"/>
      <c r="B752" s="1"/>
      <c r="C752" s="1"/>
      <c r="D752" s="1"/>
      <c r="E752" s="1"/>
      <c r="F752" s="1"/>
      <c r="G752" s="1"/>
    </row>
    <row r="753" spans="1:7" ht="12.5" x14ac:dyDescent="0.25">
      <c r="A753" s="1"/>
      <c r="B753" s="1"/>
      <c r="C753" s="1"/>
      <c r="D753" s="1"/>
      <c r="E753" s="1"/>
      <c r="F753" s="1"/>
      <c r="G753" s="1"/>
    </row>
    <row r="754" spans="1:7" ht="12.5" x14ac:dyDescent="0.25">
      <c r="A754" s="1"/>
      <c r="B754" s="1"/>
      <c r="C754" s="1"/>
      <c r="D754" s="1"/>
      <c r="E754" s="1"/>
      <c r="F754" s="1"/>
      <c r="G754" s="1"/>
    </row>
    <row r="755" spans="1:7" ht="12.5" x14ac:dyDescent="0.25">
      <c r="A755" s="1"/>
      <c r="B755" s="1"/>
      <c r="C755" s="1"/>
      <c r="D755" s="1"/>
      <c r="E755" s="1"/>
      <c r="F755" s="1"/>
      <c r="G755" s="1"/>
    </row>
    <row r="756" spans="1:7" ht="12.5" x14ac:dyDescent="0.25">
      <c r="A756" s="1"/>
      <c r="B756" s="1"/>
      <c r="C756" s="1"/>
      <c r="D756" s="1"/>
      <c r="E756" s="1"/>
      <c r="F756" s="1"/>
      <c r="G756" s="1"/>
    </row>
    <row r="757" spans="1:7" ht="12.5" x14ac:dyDescent="0.25">
      <c r="A757" s="1"/>
      <c r="B757" s="1"/>
      <c r="C757" s="1"/>
      <c r="D757" s="1"/>
      <c r="E757" s="1"/>
      <c r="F757" s="1"/>
      <c r="G757" s="1"/>
    </row>
    <row r="758" spans="1:7" ht="12.5" x14ac:dyDescent="0.25">
      <c r="A758" s="1"/>
      <c r="B758" s="1"/>
      <c r="C758" s="1"/>
      <c r="D758" s="1"/>
      <c r="E758" s="1"/>
      <c r="F758" s="1"/>
      <c r="G758" s="1"/>
    </row>
    <row r="759" spans="1:7" ht="12.5" x14ac:dyDescent="0.25">
      <c r="A759" s="1"/>
      <c r="B759" s="1"/>
      <c r="C759" s="1"/>
      <c r="D759" s="1"/>
      <c r="E759" s="1"/>
      <c r="F759" s="1"/>
      <c r="G759" s="1"/>
    </row>
    <row r="760" spans="1:7" ht="12.5" x14ac:dyDescent="0.25">
      <c r="A760" s="1"/>
      <c r="B760" s="1"/>
      <c r="C760" s="1"/>
      <c r="D760" s="1"/>
      <c r="E760" s="1"/>
      <c r="F760" s="1"/>
      <c r="G760" s="1"/>
    </row>
    <row r="761" spans="1:7" ht="12.5" x14ac:dyDescent="0.25">
      <c r="A761" s="1"/>
      <c r="B761" s="1"/>
      <c r="C761" s="1"/>
      <c r="D761" s="1"/>
      <c r="E761" s="1"/>
      <c r="F761" s="1"/>
      <c r="G761" s="1"/>
    </row>
    <row r="762" spans="1:7" ht="12.5" x14ac:dyDescent="0.25">
      <c r="A762" s="1"/>
      <c r="B762" s="1"/>
      <c r="C762" s="1"/>
      <c r="D762" s="1"/>
      <c r="E762" s="1"/>
      <c r="F762" s="1"/>
      <c r="G762" s="1"/>
    </row>
    <row r="763" spans="1:7" ht="12.5" x14ac:dyDescent="0.25">
      <c r="A763" s="1"/>
      <c r="B763" s="1"/>
      <c r="C763" s="1"/>
      <c r="D763" s="1"/>
      <c r="E763" s="1"/>
      <c r="F763" s="1"/>
      <c r="G763" s="1"/>
    </row>
    <row r="764" spans="1:7" ht="12.5" x14ac:dyDescent="0.25">
      <c r="A764" s="1"/>
      <c r="B764" s="1"/>
      <c r="C764" s="1"/>
      <c r="D764" s="1"/>
      <c r="E764" s="1"/>
      <c r="F764" s="1"/>
      <c r="G764" s="1"/>
    </row>
    <row r="765" spans="1:7" ht="12.5" x14ac:dyDescent="0.25">
      <c r="A765" s="1"/>
      <c r="B765" s="1"/>
      <c r="C765" s="1"/>
      <c r="D765" s="1"/>
      <c r="E765" s="1"/>
      <c r="F765" s="1"/>
      <c r="G765" s="1"/>
    </row>
    <row r="766" spans="1:7" ht="12.5" x14ac:dyDescent="0.25">
      <c r="A766" s="1"/>
      <c r="B766" s="1"/>
      <c r="C766" s="1"/>
      <c r="D766" s="1"/>
      <c r="E766" s="1"/>
      <c r="F766" s="1"/>
      <c r="G766" s="1"/>
    </row>
    <row r="767" spans="1:7" ht="12.5" x14ac:dyDescent="0.25">
      <c r="A767" s="1"/>
      <c r="B767" s="1"/>
      <c r="C767" s="1"/>
      <c r="D767" s="1"/>
      <c r="E767" s="1"/>
      <c r="F767" s="1"/>
      <c r="G767" s="1"/>
    </row>
    <row r="768" spans="1:7" ht="12.5" x14ac:dyDescent="0.25">
      <c r="A768" s="1"/>
      <c r="B768" s="1"/>
      <c r="C768" s="1"/>
      <c r="D768" s="1"/>
      <c r="E768" s="1"/>
      <c r="F768" s="1"/>
      <c r="G768" s="1"/>
    </row>
    <row r="769" spans="1:7" ht="12.5" x14ac:dyDescent="0.25">
      <c r="A769" s="1"/>
      <c r="B769" s="1"/>
      <c r="C769" s="1"/>
      <c r="D769" s="1"/>
      <c r="E769" s="1"/>
      <c r="F769" s="1"/>
      <c r="G769" s="1"/>
    </row>
    <row r="770" spans="1:7" ht="12.5" x14ac:dyDescent="0.25">
      <c r="A770" s="1"/>
      <c r="B770" s="1"/>
      <c r="C770" s="1"/>
      <c r="D770" s="1"/>
      <c r="E770" s="1"/>
      <c r="F770" s="1"/>
      <c r="G770" s="1"/>
    </row>
    <row r="771" spans="1:7" ht="12.5" x14ac:dyDescent="0.25">
      <c r="A771" s="1"/>
      <c r="B771" s="1"/>
      <c r="C771" s="1"/>
      <c r="D771" s="1"/>
      <c r="E771" s="1"/>
      <c r="F771" s="1"/>
      <c r="G771" s="1"/>
    </row>
    <row r="772" spans="1:7" ht="12.5" x14ac:dyDescent="0.25">
      <c r="A772" s="1"/>
      <c r="B772" s="1"/>
      <c r="C772" s="1"/>
      <c r="D772" s="1"/>
      <c r="E772" s="1"/>
      <c r="F772" s="1"/>
      <c r="G772" s="1"/>
    </row>
    <row r="773" spans="1:7" ht="12.5" x14ac:dyDescent="0.25">
      <c r="A773" s="1"/>
      <c r="B773" s="1"/>
      <c r="C773" s="1"/>
      <c r="D773" s="1"/>
      <c r="E773" s="1"/>
      <c r="F773" s="1"/>
      <c r="G773" s="1"/>
    </row>
    <row r="774" spans="1:7" ht="12.5" x14ac:dyDescent="0.25">
      <c r="A774" s="1"/>
      <c r="B774" s="1"/>
      <c r="C774" s="1"/>
      <c r="D774" s="1"/>
      <c r="E774" s="1"/>
      <c r="F774" s="1"/>
      <c r="G774" s="1"/>
    </row>
    <row r="775" spans="1:7" ht="12.5" x14ac:dyDescent="0.25">
      <c r="A775" s="1"/>
      <c r="B775" s="1"/>
      <c r="C775" s="1"/>
      <c r="D775" s="1"/>
      <c r="E775" s="1"/>
      <c r="F775" s="1"/>
      <c r="G775" s="1"/>
    </row>
    <row r="776" spans="1:7" ht="12.5" x14ac:dyDescent="0.25">
      <c r="A776" s="1"/>
      <c r="B776" s="1"/>
      <c r="C776" s="1"/>
      <c r="D776" s="1"/>
      <c r="E776" s="1"/>
      <c r="F776" s="1"/>
      <c r="G776" s="1"/>
    </row>
    <row r="777" spans="1:7" ht="12.5" x14ac:dyDescent="0.25">
      <c r="A777" s="1"/>
      <c r="B777" s="1"/>
      <c r="C777" s="1"/>
      <c r="D777" s="1"/>
      <c r="E777" s="1"/>
      <c r="F777" s="1"/>
      <c r="G777" s="1"/>
    </row>
    <row r="778" spans="1:7" ht="12.5" x14ac:dyDescent="0.25">
      <c r="A778" s="1"/>
      <c r="B778" s="1"/>
      <c r="C778" s="1"/>
      <c r="D778" s="1"/>
      <c r="E778" s="1"/>
      <c r="F778" s="1"/>
      <c r="G778" s="1"/>
    </row>
    <row r="779" spans="1:7" ht="12.5" x14ac:dyDescent="0.25">
      <c r="A779" s="1"/>
      <c r="B779" s="1"/>
      <c r="C779" s="1"/>
      <c r="D779" s="1"/>
      <c r="E779" s="1"/>
      <c r="F779" s="1"/>
      <c r="G779" s="1"/>
    </row>
    <row r="780" spans="1:7" ht="12.5" x14ac:dyDescent="0.25">
      <c r="A780" s="1"/>
      <c r="B780" s="1"/>
      <c r="C780" s="1"/>
      <c r="D780" s="1"/>
      <c r="E780" s="1"/>
      <c r="F780" s="1"/>
      <c r="G780" s="1"/>
    </row>
    <row r="781" spans="1:7" ht="12.5" x14ac:dyDescent="0.25">
      <c r="A781" s="1"/>
      <c r="B781" s="1"/>
      <c r="C781" s="1"/>
      <c r="D781" s="1"/>
      <c r="E781" s="1"/>
      <c r="F781" s="1"/>
      <c r="G781" s="1"/>
    </row>
    <row r="782" spans="1:7" ht="12.5" x14ac:dyDescent="0.25">
      <c r="A782" s="1"/>
      <c r="B782" s="1"/>
      <c r="C782" s="1"/>
      <c r="D782" s="1"/>
      <c r="E782" s="1"/>
      <c r="F782" s="1"/>
      <c r="G782" s="1"/>
    </row>
    <row r="783" spans="1:7" ht="12.5" x14ac:dyDescent="0.25">
      <c r="A783" s="1"/>
      <c r="B783" s="1"/>
      <c r="C783" s="1"/>
      <c r="D783" s="1"/>
      <c r="E783" s="1"/>
      <c r="F783" s="1"/>
      <c r="G783" s="1"/>
    </row>
    <row r="784" spans="1:7" ht="12.5" x14ac:dyDescent="0.25">
      <c r="A784" s="1"/>
      <c r="B784" s="1"/>
      <c r="C784" s="1"/>
      <c r="D784" s="1"/>
      <c r="E784" s="1"/>
      <c r="F784" s="1"/>
      <c r="G784" s="1"/>
    </row>
    <row r="785" spans="1:7" ht="12.5" x14ac:dyDescent="0.25">
      <c r="A785" s="1"/>
      <c r="B785" s="1"/>
      <c r="C785" s="1"/>
      <c r="D785" s="1"/>
      <c r="E785" s="1"/>
      <c r="F785" s="1"/>
      <c r="G785" s="1"/>
    </row>
    <row r="786" spans="1:7" ht="12.5" x14ac:dyDescent="0.25">
      <c r="A786" s="1"/>
      <c r="B786" s="1"/>
      <c r="C786" s="1"/>
      <c r="D786" s="1"/>
      <c r="E786" s="1"/>
      <c r="F786" s="1"/>
      <c r="G786" s="1"/>
    </row>
    <row r="787" spans="1:7" ht="12.5" x14ac:dyDescent="0.25">
      <c r="A787" s="1"/>
      <c r="B787" s="1"/>
      <c r="C787" s="1"/>
      <c r="D787" s="1"/>
      <c r="E787" s="1"/>
      <c r="F787" s="1"/>
      <c r="G787" s="1"/>
    </row>
    <row r="788" spans="1:7" ht="12.5" x14ac:dyDescent="0.25">
      <c r="A788" s="1"/>
      <c r="B788" s="1"/>
      <c r="C788" s="1"/>
      <c r="D788" s="1"/>
      <c r="E788" s="1"/>
      <c r="F788" s="1"/>
      <c r="G788" s="1"/>
    </row>
    <row r="789" spans="1:7" ht="12.5" x14ac:dyDescent="0.25">
      <c r="A789" s="1"/>
      <c r="B789" s="1"/>
      <c r="C789" s="1"/>
      <c r="D789" s="1"/>
      <c r="E789" s="1"/>
      <c r="F789" s="1"/>
      <c r="G789" s="1"/>
    </row>
    <row r="790" spans="1:7" ht="12.5" x14ac:dyDescent="0.25">
      <c r="A790" s="1"/>
      <c r="B790" s="1"/>
      <c r="C790" s="1"/>
      <c r="D790" s="1"/>
      <c r="E790" s="1"/>
      <c r="F790" s="1"/>
      <c r="G790" s="1"/>
    </row>
    <row r="791" spans="1:7" ht="12.5" x14ac:dyDescent="0.25">
      <c r="A791" s="1"/>
      <c r="B791" s="1"/>
      <c r="C791" s="1"/>
      <c r="D791" s="1"/>
      <c r="E791" s="1"/>
      <c r="F791" s="1"/>
      <c r="G791" s="1"/>
    </row>
    <row r="792" spans="1:7" ht="12.5" x14ac:dyDescent="0.25">
      <c r="A792" s="1"/>
      <c r="B792" s="1"/>
      <c r="C792" s="1"/>
      <c r="D792" s="1"/>
      <c r="E792" s="1"/>
      <c r="F792" s="1"/>
      <c r="G792" s="1"/>
    </row>
    <row r="793" spans="1:7" ht="12.5" x14ac:dyDescent="0.25">
      <c r="A793" s="1"/>
      <c r="B793" s="1"/>
      <c r="C793" s="1"/>
      <c r="D793" s="1"/>
      <c r="E793" s="1"/>
      <c r="F793" s="1"/>
      <c r="G793" s="1"/>
    </row>
    <row r="794" spans="1:7" ht="12.5" x14ac:dyDescent="0.25">
      <c r="A794" s="1"/>
      <c r="B794" s="1"/>
      <c r="C794" s="1"/>
      <c r="D794" s="1"/>
      <c r="E794" s="1"/>
      <c r="F794" s="1"/>
      <c r="G794" s="1"/>
    </row>
    <row r="795" spans="1:7" ht="12.5" x14ac:dyDescent="0.25">
      <c r="A795" s="1"/>
      <c r="B795" s="1"/>
      <c r="C795" s="1"/>
      <c r="D795" s="1"/>
      <c r="E795" s="1"/>
      <c r="F795" s="1"/>
      <c r="G795" s="1"/>
    </row>
    <row r="796" spans="1:7" ht="12.5" x14ac:dyDescent="0.25">
      <c r="A796" s="1"/>
      <c r="B796" s="1"/>
      <c r="C796" s="1"/>
      <c r="D796" s="1"/>
      <c r="E796" s="1"/>
      <c r="F796" s="1"/>
      <c r="G796" s="1"/>
    </row>
    <row r="797" spans="1:7" ht="12.5" x14ac:dyDescent="0.25">
      <c r="A797" s="1"/>
      <c r="B797" s="1"/>
      <c r="C797" s="1"/>
      <c r="D797" s="1"/>
      <c r="E797" s="1"/>
      <c r="F797" s="1"/>
      <c r="G797" s="1"/>
    </row>
    <row r="798" spans="1:7" ht="12.5" x14ac:dyDescent="0.25">
      <c r="A798" s="1"/>
      <c r="B798" s="1"/>
      <c r="C798" s="1"/>
      <c r="D798" s="1"/>
      <c r="E798" s="1"/>
      <c r="F798" s="1"/>
      <c r="G798" s="1"/>
    </row>
    <row r="799" spans="1:7" ht="12.5" x14ac:dyDescent="0.25">
      <c r="A799" s="1"/>
      <c r="B799" s="1"/>
      <c r="C799" s="1"/>
      <c r="D799" s="1"/>
      <c r="E799" s="1"/>
      <c r="F799" s="1"/>
      <c r="G799" s="1"/>
    </row>
    <row r="800" spans="1:7" ht="12.5" x14ac:dyDescent="0.25">
      <c r="A800" s="1"/>
      <c r="B800" s="1"/>
      <c r="C800" s="1"/>
      <c r="D800" s="1"/>
      <c r="E800" s="1"/>
      <c r="F800" s="1"/>
      <c r="G800" s="1"/>
    </row>
    <row r="801" spans="1:7" ht="12.5" x14ac:dyDescent="0.25">
      <c r="A801" s="1"/>
      <c r="B801" s="1"/>
      <c r="C801" s="1"/>
      <c r="D801" s="1"/>
      <c r="E801" s="1"/>
      <c r="F801" s="1"/>
      <c r="G801" s="1"/>
    </row>
    <row r="802" spans="1:7" ht="12.5" x14ac:dyDescent="0.25">
      <c r="A802" s="1"/>
      <c r="B802" s="1"/>
      <c r="C802" s="1"/>
      <c r="D802" s="1"/>
      <c r="E802" s="1"/>
      <c r="F802" s="1"/>
      <c r="G802" s="1"/>
    </row>
    <row r="803" spans="1:7" ht="12.5" x14ac:dyDescent="0.25">
      <c r="A803" s="1"/>
      <c r="B803" s="1"/>
      <c r="C803" s="1"/>
      <c r="D803" s="1"/>
      <c r="E803" s="1"/>
      <c r="F803" s="1"/>
      <c r="G803" s="1"/>
    </row>
    <row r="804" spans="1:7" ht="12.5" x14ac:dyDescent="0.25">
      <c r="A804" s="1"/>
      <c r="B804" s="1"/>
      <c r="C804" s="1"/>
      <c r="D804" s="1"/>
      <c r="E804" s="1"/>
      <c r="F804" s="1"/>
      <c r="G804" s="1"/>
    </row>
    <row r="805" spans="1:7" ht="12.5" x14ac:dyDescent="0.25">
      <c r="A805" s="1"/>
      <c r="B805" s="1"/>
      <c r="C805" s="1"/>
      <c r="D805" s="1"/>
      <c r="E805" s="1"/>
      <c r="F805" s="1"/>
      <c r="G805" s="1"/>
    </row>
    <row r="806" spans="1:7" ht="12.5" x14ac:dyDescent="0.25">
      <c r="A806" s="1"/>
      <c r="B806" s="1"/>
      <c r="C806" s="1"/>
      <c r="D806" s="1"/>
      <c r="E806" s="1"/>
      <c r="F806" s="1"/>
      <c r="G806" s="1"/>
    </row>
    <row r="807" spans="1:7" ht="12.5" x14ac:dyDescent="0.25">
      <c r="A807" s="1"/>
      <c r="B807" s="1"/>
      <c r="C807" s="1"/>
      <c r="D807" s="1"/>
      <c r="E807" s="1"/>
      <c r="F807" s="1"/>
      <c r="G807" s="1"/>
    </row>
    <row r="808" spans="1:7" ht="12.5" x14ac:dyDescent="0.25">
      <c r="A808" s="1"/>
      <c r="B808" s="1"/>
      <c r="C808" s="1"/>
      <c r="D808" s="1"/>
      <c r="E808" s="1"/>
      <c r="F808" s="1"/>
      <c r="G808" s="1"/>
    </row>
    <row r="809" spans="1:7" ht="12.5" x14ac:dyDescent="0.25">
      <c r="A809" s="1"/>
      <c r="B809" s="1"/>
      <c r="C809" s="1"/>
      <c r="D809" s="1"/>
      <c r="E809" s="1"/>
      <c r="F809" s="1"/>
      <c r="G809" s="1"/>
    </row>
    <row r="810" spans="1:7" ht="12.5" x14ac:dyDescent="0.25">
      <c r="A810" s="1"/>
      <c r="B810" s="1"/>
      <c r="C810" s="1"/>
      <c r="D810" s="1"/>
      <c r="E810" s="1"/>
      <c r="F810" s="1"/>
      <c r="G810" s="1"/>
    </row>
    <row r="811" spans="1:7" ht="12.5" x14ac:dyDescent="0.25">
      <c r="A811" s="1"/>
      <c r="B811" s="1"/>
      <c r="C811" s="1"/>
      <c r="D811" s="1"/>
      <c r="E811" s="1"/>
      <c r="F811" s="1"/>
      <c r="G811" s="1"/>
    </row>
    <row r="812" spans="1:7" ht="12.5" x14ac:dyDescent="0.25">
      <c r="A812" s="1"/>
      <c r="B812" s="1"/>
      <c r="C812" s="1"/>
      <c r="D812" s="1"/>
      <c r="E812" s="1"/>
      <c r="F812" s="1"/>
      <c r="G812" s="1"/>
    </row>
    <row r="813" spans="1:7" ht="12.5" x14ac:dyDescent="0.25">
      <c r="A813" s="1"/>
      <c r="B813" s="1"/>
      <c r="C813" s="1"/>
      <c r="D813" s="1"/>
      <c r="E813" s="1"/>
      <c r="F813" s="1"/>
      <c r="G813" s="1"/>
    </row>
    <row r="814" spans="1:7" ht="12.5" x14ac:dyDescent="0.25">
      <c r="A814" s="1"/>
      <c r="B814" s="1"/>
      <c r="C814" s="1"/>
      <c r="D814" s="1"/>
      <c r="E814" s="1"/>
      <c r="F814" s="1"/>
      <c r="G814" s="1"/>
    </row>
    <row r="815" spans="1:7" ht="12.5" x14ac:dyDescent="0.25">
      <c r="A815" s="1"/>
      <c r="B815" s="1"/>
      <c r="C815" s="1"/>
      <c r="D815" s="1"/>
      <c r="E815" s="1"/>
      <c r="F815" s="1"/>
      <c r="G815" s="1"/>
    </row>
    <row r="816" spans="1:7" ht="12.5" x14ac:dyDescent="0.25">
      <c r="A816" s="1"/>
      <c r="B816" s="1"/>
      <c r="C816" s="1"/>
      <c r="D816" s="1"/>
      <c r="E816" s="1"/>
      <c r="F816" s="1"/>
      <c r="G816" s="1"/>
    </row>
    <row r="817" spans="1:7" ht="12.5" x14ac:dyDescent="0.25">
      <c r="A817" s="1"/>
      <c r="B817" s="1"/>
      <c r="C817" s="1"/>
      <c r="D817" s="1"/>
      <c r="E817" s="1"/>
      <c r="F817" s="1"/>
      <c r="G817" s="1"/>
    </row>
    <row r="818" spans="1:7" ht="12.5" x14ac:dyDescent="0.25">
      <c r="A818" s="1"/>
      <c r="B818" s="1"/>
      <c r="C818" s="1"/>
      <c r="D818" s="1"/>
      <c r="E818" s="1"/>
      <c r="F818" s="1"/>
      <c r="G818" s="1"/>
    </row>
    <row r="819" spans="1:7" ht="12.5" x14ac:dyDescent="0.25">
      <c r="A819" s="1"/>
      <c r="B819" s="1"/>
      <c r="C819" s="1"/>
      <c r="D819" s="1"/>
      <c r="E819" s="1"/>
      <c r="F819" s="1"/>
      <c r="G819" s="1"/>
    </row>
    <row r="820" spans="1:7" ht="12.5" x14ac:dyDescent="0.25">
      <c r="A820" s="1"/>
      <c r="B820" s="1"/>
      <c r="C820" s="1"/>
      <c r="D820" s="1"/>
      <c r="E820" s="1"/>
      <c r="F820" s="1"/>
      <c r="G820" s="1"/>
    </row>
    <row r="821" spans="1:7" ht="12.5" x14ac:dyDescent="0.25">
      <c r="A821" s="1"/>
      <c r="B821" s="1"/>
      <c r="C821" s="1"/>
      <c r="D821" s="1"/>
      <c r="E821" s="1"/>
      <c r="F821" s="1"/>
      <c r="G821" s="1"/>
    </row>
    <row r="822" spans="1:7" ht="12.5" x14ac:dyDescent="0.25">
      <c r="A822" s="1"/>
      <c r="B822" s="1"/>
      <c r="C822" s="1"/>
      <c r="D822" s="1"/>
      <c r="E822" s="1"/>
      <c r="F822" s="1"/>
      <c r="G822" s="1"/>
    </row>
    <row r="823" spans="1:7" ht="12.5" x14ac:dyDescent="0.25">
      <c r="A823" s="1"/>
      <c r="B823" s="1"/>
      <c r="C823" s="1"/>
      <c r="D823" s="1"/>
      <c r="E823" s="1"/>
      <c r="F823" s="1"/>
      <c r="G823" s="1"/>
    </row>
    <row r="824" spans="1:7" ht="12.5" x14ac:dyDescent="0.25">
      <c r="A824" s="1"/>
      <c r="B824" s="1"/>
      <c r="C824" s="1"/>
      <c r="D824" s="1"/>
      <c r="E824" s="1"/>
      <c r="F824" s="1"/>
      <c r="G824" s="1"/>
    </row>
    <row r="825" spans="1:7" ht="12.5" x14ac:dyDescent="0.25">
      <c r="A825" s="1"/>
      <c r="B825" s="1"/>
      <c r="C825" s="1"/>
      <c r="D825" s="1"/>
      <c r="E825" s="1"/>
      <c r="F825" s="1"/>
      <c r="G825" s="1"/>
    </row>
    <row r="826" spans="1:7" ht="12.5" x14ac:dyDescent="0.25">
      <c r="A826" s="1"/>
      <c r="B826" s="1"/>
      <c r="C826" s="1"/>
      <c r="D826" s="1"/>
      <c r="E826" s="1"/>
      <c r="F826" s="1"/>
      <c r="G826" s="1"/>
    </row>
    <row r="827" spans="1:7" ht="12.5" x14ac:dyDescent="0.25">
      <c r="A827" s="1"/>
      <c r="B827" s="1"/>
      <c r="C827" s="1"/>
      <c r="D827" s="1"/>
      <c r="E827" s="1"/>
      <c r="F827" s="1"/>
      <c r="G827" s="1"/>
    </row>
    <row r="828" spans="1:7" ht="12.5" x14ac:dyDescent="0.25">
      <c r="A828" s="1"/>
      <c r="B828" s="1"/>
      <c r="C828" s="1"/>
      <c r="D828" s="1"/>
      <c r="E828" s="1"/>
      <c r="F828" s="1"/>
      <c r="G828" s="1"/>
    </row>
    <row r="829" spans="1:7" ht="12.5" x14ac:dyDescent="0.25">
      <c r="A829" s="1"/>
      <c r="B829" s="1"/>
      <c r="C829" s="1"/>
      <c r="D829" s="1"/>
      <c r="E829" s="1"/>
      <c r="F829" s="1"/>
      <c r="G829" s="1"/>
    </row>
    <row r="830" spans="1:7" ht="12.5" x14ac:dyDescent="0.25">
      <c r="A830" s="1"/>
      <c r="B830" s="1"/>
      <c r="C830" s="1"/>
      <c r="D830" s="1"/>
      <c r="E830" s="1"/>
      <c r="F830" s="1"/>
      <c r="G830" s="1"/>
    </row>
    <row r="831" spans="1:7" ht="12.5" x14ac:dyDescent="0.25">
      <c r="A831" s="1"/>
      <c r="B831" s="1"/>
      <c r="C831" s="1"/>
      <c r="D831" s="1"/>
      <c r="E831" s="1"/>
      <c r="F831" s="1"/>
      <c r="G831" s="1"/>
    </row>
    <row r="832" spans="1:7" ht="12.5" x14ac:dyDescent="0.25">
      <c r="A832" s="1"/>
      <c r="B832" s="1"/>
      <c r="C832" s="1"/>
      <c r="D832" s="1"/>
      <c r="E832" s="1"/>
      <c r="F832" s="1"/>
      <c r="G832" s="1"/>
    </row>
    <row r="833" spans="1:7" ht="12.5" x14ac:dyDescent="0.25">
      <c r="A833" s="1"/>
      <c r="B833" s="1"/>
      <c r="C833" s="1"/>
      <c r="D833" s="1"/>
      <c r="E833" s="1"/>
      <c r="F833" s="1"/>
      <c r="G833" s="1"/>
    </row>
    <row r="834" spans="1:7" ht="12.5" x14ac:dyDescent="0.25">
      <c r="A834" s="1"/>
      <c r="B834" s="1"/>
      <c r="C834" s="1"/>
      <c r="D834" s="1"/>
      <c r="E834" s="1"/>
      <c r="F834" s="1"/>
      <c r="G834" s="1"/>
    </row>
    <row r="835" spans="1:7" ht="12.5" x14ac:dyDescent="0.25">
      <c r="A835" s="1"/>
      <c r="B835" s="1"/>
      <c r="C835" s="1"/>
      <c r="D835" s="1"/>
      <c r="E835" s="1"/>
      <c r="F835" s="1"/>
      <c r="G835" s="1"/>
    </row>
    <row r="836" spans="1:7" ht="12.5" x14ac:dyDescent="0.25">
      <c r="A836" s="1"/>
      <c r="B836" s="1"/>
      <c r="C836" s="1"/>
      <c r="D836" s="1"/>
      <c r="E836" s="1"/>
      <c r="F836" s="1"/>
      <c r="G836" s="1"/>
    </row>
    <row r="837" spans="1:7" ht="12.5" x14ac:dyDescent="0.25">
      <c r="A837" s="1"/>
      <c r="B837" s="1"/>
      <c r="C837" s="1"/>
      <c r="D837" s="1"/>
      <c r="E837" s="1"/>
      <c r="F837" s="1"/>
      <c r="G837" s="1"/>
    </row>
    <row r="838" spans="1:7" ht="12.5" x14ac:dyDescent="0.25">
      <c r="A838" s="1"/>
      <c r="B838" s="1"/>
      <c r="C838" s="1"/>
      <c r="D838" s="1"/>
      <c r="E838" s="1"/>
      <c r="F838" s="1"/>
      <c r="G838" s="1"/>
    </row>
    <row r="839" spans="1:7" ht="12.5" x14ac:dyDescent="0.25">
      <c r="A839" s="1"/>
      <c r="B839" s="1"/>
      <c r="C839" s="1"/>
      <c r="D839" s="1"/>
      <c r="E839" s="1"/>
      <c r="F839" s="1"/>
      <c r="G839" s="1"/>
    </row>
    <row r="840" spans="1:7" ht="12.5" x14ac:dyDescent="0.25">
      <c r="A840" s="1"/>
      <c r="B840" s="1"/>
      <c r="C840" s="1"/>
      <c r="D840" s="1"/>
      <c r="E840" s="1"/>
      <c r="F840" s="1"/>
      <c r="G840" s="1"/>
    </row>
    <row r="841" spans="1:7" ht="12.5" x14ac:dyDescent="0.25">
      <c r="A841" s="1"/>
      <c r="B841" s="1"/>
      <c r="C841" s="1"/>
      <c r="D841" s="1"/>
      <c r="E841" s="1"/>
      <c r="F841" s="1"/>
      <c r="G841" s="1"/>
    </row>
    <row r="842" spans="1:7" ht="12.5" x14ac:dyDescent="0.25">
      <c r="A842" s="1"/>
      <c r="B842" s="1"/>
      <c r="C842" s="1"/>
      <c r="D842" s="1"/>
      <c r="E842" s="1"/>
      <c r="F842" s="1"/>
      <c r="G842" s="1"/>
    </row>
    <row r="843" spans="1:7" ht="12.5" x14ac:dyDescent="0.25">
      <c r="A843" s="1"/>
      <c r="B843" s="1"/>
      <c r="C843" s="1"/>
      <c r="D843" s="1"/>
      <c r="E843" s="1"/>
      <c r="F843" s="1"/>
      <c r="G843" s="1"/>
    </row>
    <row r="844" spans="1:7" ht="12.5" x14ac:dyDescent="0.25">
      <c r="A844" s="1"/>
      <c r="B844" s="1"/>
      <c r="C844" s="1"/>
      <c r="D844" s="1"/>
      <c r="E844" s="1"/>
      <c r="F844" s="1"/>
      <c r="G844" s="1"/>
    </row>
    <row r="845" spans="1:7" ht="12.5" x14ac:dyDescent="0.25">
      <c r="A845" s="1"/>
      <c r="B845" s="1"/>
      <c r="C845" s="1"/>
      <c r="D845" s="1"/>
      <c r="E845" s="1"/>
      <c r="F845" s="1"/>
      <c r="G845" s="1"/>
    </row>
    <row r="846" spans="1:7" ht="12.5" x14ac:dyDescent="0.25">
      <c r="A846" s="1"/>
      <c r="B846" s="1"/>
      <c r="C846" s="1"/>
      <c r="D846" s="1"/>
      <c r="E846" s="1"/>
      <c r="F846" s="1"/>
      <c r="G846" s="1"/>
    </row>
    <row r="847" spans="1:7" ht="12.5" x14ac:dyDescent="0.25">
      <c r="A847" s="1"/>
      <c r="B847" s="1"/>
      <c r="C847" s="1"/>
      <c r="D847" s="1"/>
      <c r="E847" s="1"/>
      <c r="F847" s="1"/>
      <c r="G847" s="1"/>
    </row>
    <row r="848" spans="1:7" ht="12.5" x14ac:dyDescent="0.25">
      <c r="A848" s="1"/>
      <c r="B848" s="1"/>
      <c r="C848" s="1"/>
      <c r="D848" s="1"/>
      <c r="E848" s="1"/>
      <c r="F848" s="1"/>
      <c r="G848" s="1"/>
    </row>
    <row r="849" spans="1:7" ht="12.5" x14ac:dyDescent="0.25">
      <c r="A849" s="1"/>
      <c r="B849" s="1"/>
      <c r="C849" s="1"/>
      <c r="D849" s="1"/>
      <c r="E849" s="1"/>
      <c r="F849" s="1"/>
      <c r="G849" s="1"/>
    </row>
    <row r="850" spans="1:7" ht="12.5" x14ac:dyDescent="0.25">
      <c r="A850" s="1"/>
      <c r="B850" s="1"/>
      <c r="C850" s="1"/>
      <c r="D850" s="1"/>
      <c r="E850" s="1"/>
      <c r="F850" s="1"/>
      <c r="G850" s="1"/>
    </row>
    <row r="851" spans="1:7" ht="12.5" x14ac:dyDescent="0.25">
      <c r="A851" s="1"/>
      <c r="B851" s="1"/>
      <c r="C851" s="1"/>
      <c r="D851" s="1"/>
      <c r="E851" s="1"/>
      <c r="F851" s="1"/>
      <c r="G851" s="1"/>
    </row>
    <row r="852" spans="1:7" ht="12.5" x14ac:dyDescent="0.25">
      <c r="A852" s="1"/>
      <c r="B852" s="1"/>
      <c r="C852" s="1"/>
      <c r="D852" s="1"/>
      <c r="E852" s="1"/>
      <c r="F852" s="1"/>
      <c r="G852" s="1"/>
    </row>
    <row r="853" spans="1:7" ht="12.5" x14ac:dyDescent="0.25">
      <c r="A853" s="1"/>
      <c r="B853" s="1"/>
      <c r="C853" s="1"/>
      <c r="D853" s="1"/>
      <c r="E853" s="1"/>
      <c r="F853" s="1"/>
      <c r="G853" s="1"/>
    </row>
    <row r="854" spans="1:7" ht="12.5" x14ac:dyDescent="0.25">
      <c r="A854" s="1"/>
      <c r="B854" s="1"/>
      <c r="C854" s="1"/>
      <c r="D854" s="1"/>
      <c r="E854" s="1"/>
      <c r="F854" s="1"/>
      <c r="G854" s="1"/>
    </row>
    <row r="855" spans="1:7" ht="12.5" x14ac:dyDescent="0.25">
      <c r="A855" s="1"/>
      <c r="B855" s="1"/>
      <c r="C855" s="1"/>
      <c r="D855" s="1"/>
      <c r="E855" s="1"/>
      <c r="F855" s="1"/>
      <c r="G855" s="1"/>
    </row>
    <row r="856" spans="1:7" ht="12.5" x14ac:dyDescent="0.25">
      <c r="A856" s="1"/>
      <c r="B856" s="1"/>
      <c r="C856" s="1"/>
      <c r="D856" s="1"/>
      <c r="E856" s="1"/>
      <c r="F856" s="1"/>
      <c r="G856" s="1"/>
    </row>
    <row r="857" spans="1:7" ht="12.5" x14ac:dyDescent="0.25">
      <c r="A857" s="1"/>
      <c r="B857" s="1"/>
      <c r="C857" s="1"/>
      <c r="D857" s="1"/>
      <c r="E857" s="1"/>
      <c r="F857" s="1"/>
      <c r="G857" s="1"/>
    </row>
    <row r="858" spans="1:7" ht="12.5" x14ac:dyDescent="0.25">
      <c r="A858" s="1"/>
      <c r="B858" s="1"/>
      <c r="C858" s="1"/>
      <c r="D858" s="1"/>
      <c r="E858" s="1"/>
      <c r="F858" s="1"/>
      <c r="G858" s="1"/>
    </row>
    <row r="859" spans="1:7" ht="12.5" x14ac:dyDescent="0.25">
      <c r="A859" s="1"/>
      <c r="B859" s="1"/>
      <c r="C859" s="1"/>
      <c r="D859" s="1"/>
      <c r="E859" s="1"/>
      <c r="F859" s="1"/>
      <c r="G859" s="1"/>
    </row>
    <row r="860" spans="1:7" ht="12.5" x14ac:dyDescent="0.25">
      <c r="A860" s="1"/>
      <c r="B860" s="1"/>
      <c r="C860" s="1"/>
      <c r="D860" s="1"/>
      <c r="E860" s="1"/>
      <c r="F860" s="1"/>
      <c r="G860" s="1"/>
    </row>
    <row r="861" spans="1:7" ht="12.5" x14ac:dyDescent="0.25">
      <c r="A861" s="1"/>
      <c r="B861" s="1"/>
      <c r="C861" s="1"/>
      <c r="D861" s="1"/>
      <c r="E861" s="1"/>
      <c r="F861" s="1"/>
      <c r="G861" s="1"/>
    </row>
    <row r="862" spans="1:7" ht="12.5" x14ac:dyDescent="0.25">
      <c r="A862" s="1"/>
      <c r="B862" s="1"/>
      <c r="C862" s="1"/>
      <c r="D862" s="1"/>
      <c r="E862" s="1"/>
      <c r="F862" s="1"/>
      <c r="G862" s="1"/>
    </row>
    <row r="863" spans="1:7" ht="12.5" x14ac:dyDescent="0.25">
      <c r="A863" s="1"/>
      <c r="B863" s="1"/>
      <c r="C863" s="1"/>
      <c r="D863" s="1"/>
      <c r="E863" s="1"/>
      <c r="F863" s="1"/>
      <c r="G863" s="1"/>
    </row>
    <row r="864" spans="1:7" ht="12.5" x14ac:dyDescent="0.25">
      <c r="A864" s="1"/>
      <c r="B864" s="1"/>
      <c r="C864" s="1"/>
      <c r="D864" s="1"/>
      <c r="E864" s="1"/>
      <c r="F864" s="1"/>
      <c r="G864" s="1"/>
    </row>
    <row r="865" spans="1:7" ht="12.5" x14ac:dyDescent="0.25">
      <c r="A865" s="1"/>
      <c r="B865" s="1"/>
      <c r="C865" s="1"/>
      <c r="D865" s="1"/>
      <c r="E865" s="1"/>
      <c r="F865" s="1"/>
      <c r="G865" s="1"/>
    </row>
    <row r="866" spans="1:7" ht="12.5" x14ac:dyDescent="0.25">
      <c r="A866" s="1"/>
      <c r="B866" s="1"/>
      <c r="C866" s="1"/>
      <c r="D866" s="1"/>
      <c r="E866" s="1"/>
      <c r="F866" s="1"/>
      <c r="G866" s="1"/>
    </row>
    <row r="867" spans="1:7" ht="12.5" x14ac:dyDescent="0.25">
      <c r="A867" s="1"/>
      <c r="B867" s="1"/>
      <c r="C867" s="1"/>
      <c r="D867" s="1"/>
      <c r="E867" s="1"/>
      <c r="F867" s="1"/>
      <c r="G867" s="1"/>
    </row>
    <row r="868" spans="1:7" ht="12.5" x14ac:dyDescent="0.25">
      <c r="A868" s="1"/>
      <c r="B868" s="1"/>
      <c r="C868" s="1"/>
      <c r="D868" s="1"/>
      <c r="E868" s="1"/>
      <c r="F868" s="1"/>
      <c r="G868" s="1"/>
    </row>
    <row r="869" spans="1:7" ht="12.5" x14ac:dyDescent="0.25">
      <c r="A869" s="1"/>
      <c r="B869" s="1"/>
      <c r="C869" s="1"/>
      <c r="D869" s="1"/>
      <c r="E869" s="1"/>
      <c r="F869" s="1"/>
      <c r="G869" s="1"/>
    </row>
    <row r="870" spans="1:7" ht="12.5" x14ac:dyDescent="0.25">
      <c r="A870" s="1"/>
      <c r="B870" s="1"/>
      <c r="C870" s="1"/>
      <c r="D870" s="1"/>
      <c r="E870" s="1"/>
      <c r="F870" s="1"/>
      <c r="G870" s="1"/>
    </row>
    <row r="871" spans="1:7" ht="12.5" x14ac:dyDescent="0.25">
      <c r="A871" s="1"/>
      <c r="B871" s="1"/>
      <c r="C871" s="1"/>
      <c r="D871" s="1"/>
      <c r="E871" s="1"/>
      <c r="F871" s="1"/>
      <c r="G871" s="1"/>
    </row>
    <row r="872" spans="1:7" ht="12.5" x14ac:dyDescent="0.25">
      <c r="A872" s="1"/>
      <c r="B872" s="1"/>
      <c r="C872" s="1"/>
      <c r="D872" s="1"/>
      <c r="E872" s="1"/>
      <c r="F872" s="1"/>
      <c r="G872" s="1"/>
    </row>
    <row r="873" spans="1:7" ht="12.5" x14ac:dyDescent="0.25">
      <c r="A873" s="1"/>
      <c r="B873" s="1"/>
      <c r="C873" s="1"/>
      <c r="D873" s="1"/>
      <c r="E873" s="1"/>
      <c r="F873" s="1"/>
      <c r="G873" s="1"/>
    </row>
    <row r="874" spans="1:7" ht="12.5" x14ac:dyDescent="0.25">
      <c r="A874" s="1"/>
      <c r="B874" s="1"/>
      <c r="C874" s="1"/>
      <c r="D874" s="1"/>
      <c r="E874" s="1"/>
      <c r="F874" s="1"/>
      <c r="G874" s="1"/>
    </row>
    <row r="875" spans="1:7" ht="12.5" x14ac:dyDescent="0.25">
      <c r="A875" s="1"/>
      <c r="B875" s="1"/>
      <c r="C875" s="1"/>
      <c r="D875" s="1"/>
      <c r="E875" s="1"/>
      <c r="F875" s="1"/>
      <c r="G875" s="1"/>
    </row>
    <row r="876" spans="1:7" ht="12.5" x14ac:dyDescent="0.25">
      <c r="A876" s="1"/>
      <c r="B876" s="1"/>
      <c r="C876" s="1"/>
      <c r="D876" s="1"/>
      <c r="E876" s="1"/>
      <c r="F876" s="1"/>
      <c r="G876" s="1"/>
    </row>
    <row r="877" spans="1:7" ht="12.5" x14ac:dyDescent="0.25">
      <c r="A877" s="1"/>
      <c r="B877" s="1"/>
      <c r="C877" s="1"/>
      <c r="D877" s="1"/>
      <c r="E877" s="1"/>
      <c r="F877" s="1"/>
      <c r="G877" s="1"/>
    </row>
    <row r="878" spans="1:7" ht="12.5" x14ac:dyDescent="0.25">
      <c r="A878" s="1"/>
      <c r="B878" s="1"/>
      <c r="C878" s="1"/>
      <c r="D878" s="1"/>
      <c r="E878" s="1"/>
      <c r="F878" s="1"/>
      <c r="G878" s="1"/>
    </row>
    <row r="879" spans="1:7" ht="12.5" x14ac:dyDescent="0.25">
      <c r="A879" s="1"/>
      <c r="B879" s="1"/>
      <c r="C879" s="1"/>
      <c r="D879" s="1"/>
      <c r="E879" s="1"/>
      <c r="F879" s="1"/>
      <c r="G879" s="1"/>
    </row>
    <row r="880" spans="1:7" ht="12.5" x14ac:dyDescent="0.25">
      <c r="A880" s="1"/>
      <c r="B880" s="1"/>
      <c r="C880" s="1"/>
      <c r="D880" s="1"/>
      <c r="E880" s="1"/>
      <c r="F880" s="1"/>
      <c r="G880" s="1"/>
    </row>
    <row r="881" spans="1:7" ht="12.5" x14ac:dyDescent="0.25">
      <c r="A881" s="1"/>
      <c r="B881" s="1"/>
      <c r="C881" s="1"/>
      <c r="D881" s="1"/>
      <c r="E881" s="1"/>
      <c r="F881" s="1"/>
      <c r="G881" s="1"/>
    </row>
    <row r="882" spans="1:7" ht="12.5" x14ac:dyDescent="0.25">
      <c r="A882" s="1"/>
      <c r="B882" s="1"/>
      <c r="C882" s="1"/>
      <c r="D882" s="1"/>
      <c r="E882" s="1"/>
      <c r="F882" s="1"/>
      <c r="G882" s="1"/>
    </row>
    <row r="883" spans="1:7" ht="12.5" x14ac:dyDescent="0.25">
      <c r="A883" s="1"/>
      <c r="B883" s="1"/>
      <c r="C883" s="1"/>
      <c r="D883" s="1"/>
      <c r="E883" s="1"/>
      <c r="F883" s="1"/>
      <c r="G883" s="1"/>
    </row>
    <row r="884" spans="1:7" ht="12.5" x14ac:dyDescent="0.25">
      <c r="A884" s="1"/>
      <c r="B884" s="1"/>
      <c r="C884" s="1"/>
      <c r="D884" s="1"/>
      <c r="E884" s="1"/>
      <c r="F884" s="1"/>
      <c r="G884" s="1"/>
    </row>
    <row r="885" spans="1:7" ht="12.5" x14ac:dyDescent="0.25">
      <c r="A885" s="1"/>
      <c r="B885" s="1"/>
      <c r="C885" s="1"/>
      <c r="D885" s="1"/>
      <c r="E885" s="1"/>
      <c r="F885" s="1"/>
      <c r="G885" s="1"/>
    </row>
    <row r="886" spans="1:7" ht="12.5" x14ac:dyDescent="0.25">
      <c r="A886" s="1"/>
      <c r="B886" s="1"/>
      <c r="C886" s="1"/>
      <c r="D886" s="1"/>
      <c r="E886" s="1"/>
      <c r="F886" s="1"/>
      <c r="G886" s="1"/>
    </row>
    <row r="887" spans="1:7" ht="12.5" x14ac:dyDescent="0.25">
      <c r="A887" s="1"/>
      <c r="B887" s="1"/>
      <c r="C887" s="1"/>
      <c r="D887" s="1"/>
      <c r="E887" s="1"/>
      <c r="F887" s="1"/>
      <c r="G887" s="1"/>
    </row>
    <row r="888" spans="1:7" ht="12.5" x14ac:dyDescent="0.25">
      <c r="A888" s="1"/>
      <c r="B888" s="1"/>
      <c r="C888" s="1"/>
      <c r="D888" s="1"/>
      <c r="E888" s="1"/>
      <c r="F888" s="1"/>
      <c r="G888" s="1"/>
    </row>
    <row r="889" spans="1:7" ht="12.5" x14ac:dyDescent="0.25">
      <c r="A889" s="1"/>
      <c r="B889" s="1"/>
      <c r="C889" s="1"/>
      <c r="D889" s="1"/>
      <c r="E889" s="1"/>
      <c r="F889" s="1"/>
      <c r="G889" s="1"/>
    </row>
    <row r="890" spans="1:7" ht="12.5" x14ac:dyDescent="0.25">
      <c r="A890" s="1"/>
      <c r="B890" s="1"/>
      <c r="C890" s="1"/>
      <c r="D890" s="1"/>
      <c r="E890" s="1"/>
      <c r="F890" s="1"/>
      <c r="G890" s="1"/>
    </row>
    <row r="891" spans="1:7" ht="12.5" x14ac:dyDescent="0.25">
      <c r="A891" s="1"/>
      <c r="B891" s="1"/>
      <c r="C891" s="1"/>
      <c r="D891" s="1"/>
      <c r="E891" s="1"/>
      <c r="F891" s="1"/>
      <c r="G891" s="1"/>
    </row>
    <row r="892" spans="1:7" ht="12.5" x14ac:dyDescent="0.25">
      <c r="A892" s="1"/>
      <c r="B892" s="1"/>
      <c r="C892" s="1"/>
      <c r="D892" s="1"/>
      <c r="E892" s="1"/>
      <c r="F892" s="1"/>
      <c r="G892" s="1"/>
    </row>
    <row r="893" spans="1:7" ht="12.5" x14ac:dyDescent="0.25">
      <c r="A893" s="1"/>
      <c r="B893" s="1"/>
      <c r="C893" s="1"/>
      <c r="D893" s="1"/>
      <c r="E893" s="1"/>
      <c r="F893" s="1"/>
      <c r="G893" s="1"/>
    </row>
    <row r="894" spans="1:7" ht="12.5" x14ac:dyDescent="0.25">
      <c r="A894" s="1"/>
      <c r="B894" s="1"/>
      <c r="C894" s="1"/>
      <c r="D894" s="1"/>
      <c r="E894" s="1"/>
      <c r="F894" s="1"/>
      <c r="G894" s="1"/>
    </row>
    <row r="895" spans="1:7" ht="12.5" x14ac:dyDescent="0.25">
      <c r="A895" s="1"/>
      <c r="B895" s="1"/>
      <c r="C895" s="1"/>
      <c r="D895" s="1"/>
      <c r="E895" s="1"/>
      <c r="F895" s="1"/>
      <c r="G895" s="1"/>
    </row>
    <row r="896" spans="1:7" ht="12.5" x14ac:dyDescent="0.25">
      <c r="A896" s="1"/>
      <c r="B896" s="1"/>
      <c r="C896" s="1"/>
      <c r="D896" s="1"/>
      <c r="E896" s="1"/>
      <c r="F896" s="1"/>
      <c r="G896" s="1"/>
    </row>
    <row r="897" spans="1:7" ht="12.5" x14ac:dyDescent="0.25">
      <c r="A897" s="1"/>
      <c r="B897" s="1"/>
      <c r="C897" s="1"/>
      <c r="D897" s="1"/>
      <c r="E897" s="1"/>
      <c r="F897" s="1"/>
      <c r="G897" s="1"/>
    </row>
    <row r="898" spans="1:7" ht="12.5" x14ac:dyDescent="0.25">
      <c r="A898" s="1"/>
      <c r="B898" s="1"/>
      <c r="C898" s="1"/>
      <c r="D898" s="1"/>
      <c r="E898" s="1"/>
      <c r="F898" s="1"/>
      <c r="G898" s="1"/>
    </row>
    <row r="899" spans="1:7" ht="12.5" x14ac:dyDescent="0.25">
      <c r="A899" s="1"/>
      <c r="B899" s="1"/>
      <c r="C899" s="1"/>
      <c r="D899" s="1"/>
      <c r="E899" s="1"/>
      <c r="F899" s="1"/>
      <c r="G899" s="1"/>
    </row>
    <row r="900" spans="1:7" ht="12.5" x14ac:dyDescent="0.25">
      <c r="A900" s="1"/>
      <c r="B900" s="1"/>
      <c r="C900" s="1"/>
      <c r="D900" s="1"/>
      <c r="E900" s="1"/>
      <c r="F900" s="1"/>
      <c r="G900" s="1"/>
    </row>
    <row r="901" spans="1:7" ht="12.5" x14ac:dyDescent="0.25">
      <c r="A901" s="1"/>
      <c r="B901" s="1"/>
      <c r="C901" s="1"/>
      <c r="D901" s="1"/>
      <c r="E901" s="1"/>
      <c r="F901" s="1"/>
      <c r="G901" s="1"/>
    </row>
    <row r="902" spans="1:7" ht="12.5" x14ac:dyDescent="0.25">
      <c r="A902" s="1"/>
      <c r="B902" s="1"/>
      <c r="C902" s="1"/>
      <c r="D902" s="1"/>
      <c r="E902" s="1"/>
      <c r="F902" s="1"/>
      <c r="G902" s="1"/>
    </row>
    <row r="903" spans="1:7" ht="12.5" x14ac:dyDescent="0.25">
      <c r="A903" s="1"/>
      <c r="B903" s="1"/>
      <c r="C903" s="1"/>
      <c r="D903" s="1"/>
      <c r="E903" s="1"/>
      <c r="F903" s="1"/>
      <c r="G903" s="1"/>
    </row>
    <row r="904" spans="1:7" ht="12.5" x14ac:dyDescent="0.25">
      <c r="A904" s="1"/>
      <c r="B904" s="1"/>
      <c r="C904" s="1"/>
      <c r="D904" s="1"/>
      <c r="E904" s="1"/>
      <c r="F904" s="1"/>
      <c r="G904" s="1"/>
    </row>
    <row r="905" spans="1:7" ht="12.5" x14ac:dyDescent="0.25">
      <c r="A905" s="1"/>
      <c r="B905" s="1"/>
      <c r="C905" s="1"/>
      <c r="D905" s="1"/>
      <c r="E905" s="1"/>
      <c r="F905" s="1"/>
      <c r="G905" s="1"/>
    </row>
    <row r="906" spans="1:7" ht="12.5" x14ac:dyDescent="0.25">
      <c r="A906" s="1"/>
      <c r="B906" s="1"/>
      <c r="C906" s="1"/>
      <c r="D906" s="1"/>
      <c r="E906" s="1"/>
      <c r="F906" s="1"/>
      <c r="G906" s="1"/>
    </row>
    <row r="907" spans="1:7" ht="12.5" x14ac:dyDescent="0.25">
      <c r="A907" s="1"/>
      <c r="B907" s="1"/>
      <c r="C907" s="1"/>
      <c r="D907" s="1"/>
      <c r="E907" s="1"/>
      <c r="F907" s="1"/>
      <c r="G907" s="1"/>
    </row>
    <row r="908" spans="1:7" ht="12.5" x14ac:dyDescent="0.25">
      <c r="A908" s="1"/>
      <c r="B908" s="1"/>
      <c r="C908" s="1"/>
      <c r="D908" s="1"/>
      <c r="E908" s="1"/>
      <c r="F908" s="1"/>
      <c r="G908" s="1"/>
    </row>
    <row r="909" spans="1:7" ht="12.5" x14ac:dyDescent="0.25">
      <c r="A909" s="1"/>
      <c r="B909" s="1"/>
      <c r="C909" s="1"/>
      <c r="D909" s="1"/>
      <c r="E909" s="1"/>
      <c r="F909" s="1"/>
      <c r="G909" s="1"/>
    </row>
    <row r="910" spans="1:7" ht="12.5" x14ac:dyDescent="0.25">
      <c r="A910" s="1"/>
      <c r="B910" s="1"/>
      <c r="C910" s="1"/>
      <c r="D910" s="1"/>
      <c r="E910" s="1"/>
      <c r="F910" s="1"/>
      <c r="G910" s="1"/>
    </row>
    <row r="911" spans="1:7" ht="12.5" x14ac:dyDescent="0.25">
      <c r="A911" s="1"/>
      <c r="B911" s="1"/>
      <c r="C911" s="1"/>
      <c r="D911" s="1"/>
      <c r="E911" s="1"/>
      <c r="F911" s="1"/>
      <c r="G911" s="1"/>
    </row>
    <row r="912" spans="1:7" ht="12.5" x14ac:dyDescent="0.25">
      <c r="A912" s="1"/>
      <c r="B912" s="1"/>
      <c r="C912" s="1"/>
      <c r="D912" s="1"/>
      <c r="E912" s="1"/>
      <c r="F912" s="1"/>
      <c r="G912" s="1"/>
    </row>
    <row r="913" spans="1:7" ht="12.5" x14ac:dyDescent="0.25">
      <c r="A913" s="1"/>
      <c r="B913" s="1"/>
      <c r="C913" s="1"/>
      <c r="D913" s="1"/>
      <c r="E913" s="1"/>
      <c r="F913" s="1"/>
      <c r="G913" s="1"/>
    </row>
    <row r="914" spans="1:7" ht="12.5" x14ac:dyDescent="0.25">
      <c r="A914" s="1"/>
      <c r="B914" s="1"/>
      <c r="C914" s="1"/>
      <c r="D914" s="1"/>
      <c r="E914" s="1"/>
      <c r="F914" s="1"/>
      <c r="G914" s="1"/>
    </row>
    <row r="915" spans="1:7" ht="12.5" x14ac:dyDescent="0.25">
      <c r="A915" s="1"/>
      <c r="B915" s="1"/>
      <c r="C915" s="1"/>
      <c r="D915" s="1"/>
      <c r="E915" s="1"/>
      <c r="F915" s="1"/>
      <c r="G915" s="1"/>
    </row>
    <row r="916" spans="1:7" ht="12.5" x14ac:dyDescent="0.25">
      <c r="A916" s="1"/>
      <c r="B916" s="1"/>
      <c r="C916" s="1"/>
      <c r="D916" s="1"/>
      <c r="E916" s="1"/>
      <c r="F916" s="1"/>
      <c r="G916" s="1"/>
    </row>
    <row r="917" spans="1:7" ht="12.5" x14ac:dyDescent="0.25">
      <c r="A917" s="1"/>
      <c r="B917" s="1"/>
      <c r="C917" s="1"/>
      <c r="D917" s="1"/>
      <c r="E917" s="1"/>
      <c r="F917" s="1"/>
      <c r="G917" s="1"/>
    </row>
    <row r="918" spans="1:7" ht="12.5" x14ac:dyDescent="0.25">
      <c r="A918" s="1"/>
      <c r="B918" s="1"/>
      <c r="C918" s="1"/>
      <c r="D918" s="1"/>
      <c r="E918" s="1"/>
      <c r="F918" s="1"/>
      <c r="G918" s="1"/>
    </row>
    <row r="919" spans="1:7" ht="12.5" x14ac:dyDescent="0.25">
      <c r="A919" s="1"/>
      <c r="B919" s="1"/>
      <c r="C919" s="1"/>
      <c r="D919" s="1"/>
      <c r="E919" s="1"/>
      <c r="F919" s="1"/>
      <c r="G919" s="1"/>
    </row>
    <row r="920" spans="1:7" ht="12.5" x14ac:dyDescent="0.25">
      <c r="A920" s="1"/>
      <c r="B920" s="1"/>
      <c r="C920" s="1"/>
      <c r="D920" s="1"/>
      <c r="E920" s="1"/>
      <c r="F920" s="1"/>
      <c r="G920" s="1"/>
    </row>
    <row r="921" spans="1:7" ht="12.5" x14ac:dyDescent="0.25">
      <c r="A921" s="1"/>
      <c r="B921" s="1"/>
      <c r="C921" s="1"/>
      <c r="D921" s="1"/>
      <c r="E921" s="1"/>
      <c r="F921" s="1"/>
      <c r="G921" s="1"/>
    </row>
    <row r="922" spans="1:7" ht="12.5" x14ac:dyDescent="0.25">
      <c r="A922" s="1"/>
      <c r="B922" s="1"/>
      <c r="C922" s="1"/>
      <c r="D922" s="1"/>
      <c r="E922" s="1"/>
      <c r="F922" s="1"/>
      <c r="G922" s="1"/>
    </row>
    <row r="923" spans="1:7" ht="12.5" x14ac:dyDescent="0.25">
      <c r="A923" s="1"/>
      <c r="B923" s="1"/>
      <c r="C923" s="1"/>
      <c r="D923" s="1"/>
      <c r="E923" s="1"/>
      <c r="F923" s="1"/>
      <c r="G923" s="1"/>
    </row>
    <row r="924" spans="1:7" ht="12.5" x14ac:dyDescent="0.25">
      <c r="A924" s="1"/>
      <c r="B924" s="1"/>
      <c r="C924" s="1"/>
      <c r="D924" s="1"/>
      <c r="E924" s="1"/>
      <c r="F924" s="1"/>
      <c r="G924" s="1"/>
    </row>
    <row r="925" spans="1:7" ht="12.5" x14ac:dyDescent="0.25">
      <c r="A925" s="1"/>
      <c r="B925" s="1"/>
      <c r="C925" s="1"/>
      <c r="D925" s="1"/>
      <c r="E925" s="1"/>
      <c r="F925" s="1"/>
      <c r="G925" s="1"/>
    </row>
    <row r="926" spans="1:7" ht="12.5" x14ac:dyDescent="0.25">
      <c r="A926" s="1"/>
      <c r="B926" s="1"/>
      <c r="C926" s="1"/>
      <c r="D926" s="1"/>
      <c r="E926" s="1"/>
      <c r="F926" s="1"/>
      <c r="G926" s="1"/>
    </row>
    <row r="927" spans="1:7" ht="12.5" x14ac:dyDescent="0.25">
      <c r="A927" s="1"/>
      <c r="B927" s="1"/>
      <c r="C927" s="1"/>
      <c r="D927" s="1"/>
      <c r="E927" s="1"/>
      <c r="F927" s="1"/>
      <c r="G927" s="1"/>
    </row>
    <row r="928" spans="1:7" ht="12.5" x14ac:dyDescent="0.25">
      <c r="A928" s="1"/>
      <c r="B928" s="1"/>
      <c r="C928" s="1"/>
      <c r="D928" s="1"/>
      <c r="E928" s="1"/>
      <c r="F928" s="1"/>
      <c r="G928" s="1"/>
    </row>
    <row r="929" spans="1:7" ht="12.5" x14ac:dyDescent="0.25">
      <c r="A929" s="1"/>
      <c r="B929" s="1"/>
      <c r="C929" s="1"/>
      <c r="D929" s="1"/>
      <c r="E929" s="1"/>
      <c r="F929" s="1"/>
      <c r="G929" s="1"/>
    </row>
    <row r="930" spans="1:7" ht="12.5" x14ac:dyDescent="0.25">
      <c r="A930" s="1"/>
      <c r="B930" s="1"/>
      <c r="C930" s="1"/>
      <c r="D930" s="1"/>
      <c r="E930" s="1"/>
      <c r="F930" s="1"/>
      <c r="G930" s="1"/>
    </row>
    <row r="931" spans="1:7" ht="12.5" x14ac:dyDescent="0.25">
      <c r="A931" s="1"/>
      <c r="B931" s="1"/>
      <c r="C931" s="1"/>
      <c r="D931" s="1"/>
      <c r="E931" s="1"/>
      <c r="F931" s="1"/>
      <c r="G931" s="1"/>
    </row>
    <row r="932" spans="1:7" ht="12.5" x14ac:dyDescent="0.25">
      <c r="A932" s="1"/>
      <c r="B932" s="1"/>
      <c r="C932" s="1"/>
      <c r="D932" s="1"/>
      <c r="E932" s="1"/>
      <c r="F932" s="1"/>
      <c r="G932" s="1"/>
    </row>
    <row r="933" spans="1:7" ht="12.5" x14ac:dyDescent="0.25">
      <c r="A933" s="1"/>
      <c r="B933" s="1"/>
      <c r="C933" s="1"/>
      <c r="D933" s="1"/>
      <c r="E933" s="1"/>
      <c r="F933" s="1"/>
      <c r="G933" s="1"/>
    </row>
    <row r="934" spans="1:7" ht="12.5" x14ac:dyDescent="0.25">
      <c r="A934" s="1"/>
      <c r="B934" s="1"/>
      <c r="C934" s="1"/>
      <c r="D934" s="1"/>
      <c r="E934" s="1"/>
      <c r="F934" s="1"/>
      <c r="G934" s="1"/>
    </row>
    <row r="935" spans="1:7" ht="12.5" x14ac:dyDescent="0.25">
      <c r="A935" s="1"/>
      <c r="B935" s="1"/>
      <c r="C935" s="1"/>
      <c r="D935" s="1"/>
      <c r="E935" s="1"/>
      <c r="F935" s="1"/>
      <c r="G935" s="1"/>
    </row>
    <row r="936" spans="1:7" ht="12.5" x14ac:dyDescent="0.25">
      <c r="A936" s="1"/>
      <c r="B936" s="1"/>
      <c r="C936" s="1"/>
      <c r="D936" s="1"/>
      <c r="E936" s="1"/>
      <c r="F936" s="1"/>
      <c r="G936" s="1"/>
    </row>
    <row r="937" spans="1:7" ht="12.5" x14ac:dyDescent="0.25">
      <c r="A937" s="1"/>
      <c r="B937" s="1"/>
      <c r="C937" s="1"/>
      <c r="D937" s="1"/>
      <c r="E937" s="1"/>
      <c r="F937" s="1"/>
      <c r="G937" s="1"/>
    </row>
    <row r="938" spans="1:7" ht="12.5" x14ac:dyDescent="0.25">
      <c r="A938" s="1"/>
      <c r="B938" s="1"/>
      <c r="C938" s="1"/>
      <c r="D938" s="1"/>
      <c r="E938" s="1"/>
      <c r="F938" s="1"/>
      <c r="G938" s="1"/>
    </row>
    <row r="939" spans="1:7" ht="12.5" x14ac:dyDescent="0.25">
      <c r="A939" s="1"/>
      <c r="B939" s="1"/>
      <c r="C939" s="1"/>
      <c r="D939" s="1"/>
      <c r="E939" s="1"/>
      <c r="F939" s="1"/>
      <c r="G939" s="1"/>
    </row>
    <row r="940" spans="1:7" ht="12.5" x14ac:dyDescent="0.25">
      <c r="A940" s="1"/>
      <c r="B940" s="1"/>
      <c r="C940" s="1"/>
      <c r="D940" s="1"/>
      <c r="E940" s="1"/>
      <c r="F940" s="1"/>
      <c r="G940" s="1"/>
    </row>
    <row r="941" spans="1:7" ht="12.5" x14ac:dyDescent="0.25">
      <c r="A941" s="1"/>
      <c r="B941" s="1"/>
      <c r="C941" s="1"/>
      <c r="D941" s="1"/>
      <c r="E941" s="1"/>
      <c r="F941" s="1"/>
      <c r="G941" s="1"/>
    </row>
    <row r="942" spans="1:7" ht="12.5" x14ac:dyDescent="0.25">
      <c r="A942" s="1"/>
      <c r="B942" s="1"/>
      <c r="C942" s="1"/>
      <c r="D942" s="1"/>
      <c r="E942" s="1"/>
      <c r="F942" s="1"/>
      <c r="G942" s="1"/>
    </row>
    <row r="943" spans="1:7" ht="12.5" x14ac:dyDescent="0.25">
      <c r="A943" s="1"/>
      <c r="B943" s="1"/>
      <c r="C943" s="1"/>
      <c r="D943" s="1"/>
      <c r="E943" s="1"/>
      <c r="F943" s="1"/>
      <c r="G943" s="1"/>
    </row>
    <row r="944" spans="1:7" ht="12.5" x14ac:dyDescent="0.25">
      <c r="A944" s="1"/>
      <c r="B944" s="1"/>
      <c r="C944" s="1"/>
      <c r="D944" s="1"/>
      <c r="E944" s="1"/>
      <c r="F944" s="1"/>
      <c r="G944" s="1"/>
    </row>
    <row r="945" spans="1:7" ht="12.5" x14ac:dyDescent="0.25">
      <c r="A945" s="1"/>
      <c r="B945" s="1"/>
      <c r="C945" s="1"/>
      <c r="D945" s="1"/>
      <c r="E945" s="1"/>
      <c r="F945" s="1"/>
      <c r="G945" s="1"/>
    </row>
    <row r="946" spans="1:7" ht="12.5" x14ac:dyDescent="0.25">
      <c r="A946" s="1"/>
      <c r="B946" s="1"/>
      <c r="C946" s="1"/>
      <c r="D946" s="1"/>
      <c r="E946" s="1"/>
      <c r="F946" s="1"/>
      <c r="G946" s="1"/>
    </row>
    <row r="947" spans="1:7" ht="12.5" x14ac:dyDescent="0.25">
      <c r="A947" s="1"/>
      <c r="B947" s="1"/>
      <c r="C947" s="1"/>
      <c r="D947" s="1"/>
      <c r="E947" s="1"/>
      <c r="F947" s="1"/>
      <c r="G947" s="1"/>
    </row>
    <row r="948" spans="1:7" ht="12.5" x14ac:dyDescent="0.25">
      <c r="A948" s="1"/>
      <c r="B948" s="1"/>
      <c r="C948" s="1"/>
      <c r="D948" s="1"/>
      <c r="E948" s="1"/>
      <c r="F948" s="1"/>
      <c r="G948" s="1"/>
    </row>
    <row r="949" spans="1:7" ht="12.5" x14ac:dyDescent="0.25">
      <c r="A949" s="1"/>
      <c r="B949" s="1"/>
      <c r="C949" s="1"/>
      <c r="D949" s="1"/>
      <c r="E949" s="1"/>
      <c r="F949" s="1"/>
      <c r="G949" s="1"/>
    </row>
    <row r="950" spans="1:7" ht="12.5" x14ac:dyDescent="0.25">
      <c r="A950" s="1"/>
      <c r="B950" s="1"/>
      <c r="C950" s="1"/>
      <c r="D950" s="1"/>
      <c r="E950" s="1"/>
      <c r="F950" s="1"/>
      <c r="G950" s="1"/>
    </row>
    <row r="951" spans="1:7" ht="12.5" x14ac:dyDescent="0.25">
      <c r="A951" s="1"/>
      <c r="B951" s="1"/>
      <c r="C951" s="1"/>
      <c r="D951" s="1"/>
      <c r="E951" s="1"/>
      <c r="F951" s="1"/>
      <c r="G951" s="1"/>
    </row>
    <row r="952" spans="1:7" ht="12.5" x14ac:dyDescent="0.25">
      <c r="A952" s="1"/>
      <c r="B952" s="1"/>
      <c r="C952" s="1"/>
      <c r="D952" s="1"/>
      <c r="E952" s="1"/>
      <c r="F952" s="1"/>
      <c r="G952" s="1"/>
    </row>
    <row r="953" spans="1:7" ht="12.5" x14ac:dyDescent="0.25">
      <c r="A953" s="1"/>
      <c r="B953" s="1"/>
      <c r="C953" s="1"/>
      <c r="D953" s="1"/>
      <c r="E953" s="1"/>
      <c r="F953" s="1"/>
      <c r="G953" s="1"/>
    </row>
    <row r="954" spans="1:7" ht="12.5" x14ac:dyDescent="0.25">
      <c r="A954" s="1"/>
      <c r="B954" s="1"/>
      <c r="C954" s="1"/>
      <c r="D954" s="1"/>
      <c r="E954" s="1"/>
      <c r="F954" s="1"/>
      <c r="G954" s="1"/>
    </row>
    <row r="955" spans="1:7" ht="12.5" x14ac:dyDescent="0.25">
      <c r="A955" s="1"/>
      <c r="B955" s="1"/>
      <c r="C955" s="1"/>
      <c r="D955" s="1"/>
      <c r="E955" s="1"/>
      <c r="F955" s="1"/>
      <c r="G955" s="1"/>
    </row>
    <row r="956" spans="1:7" ht="12.5" x14ac:dyDescent="0.25">
      <c r="A956" s="1"/>
      <c r="B956" s="1"/>
      <c r="C956" s="1"/>
      <c r="D956" s="1"/>
      <c r="E956" s="1"/>
      <c r="F956" s="1"/>
      <c r="G956" s="1"/>
    </row>
    <row r="957" spans="1:7" ht="12.5" x14ac:dyDescent="0.25">
      <c r="A957" s="1"/>
      <c r="B957" s="1"/>
      <c r="C957" s="1"/>
      <c r="D957" s="1"/>
      <c r="E957" s="1"/>
      <c r="F957" s="1"/>
      <c r="G957" s="1"/>
    </row>
    <row r="958" spans="1:7" ht="12.5" x14ac:dyDescent="0.25">
      <c r="A958" s="1"/>
      <c r="B958" s="1"/>
      <c r="C958" s="1"/>
      <c r="D958" s="1"/>
      <c r="E958" s="1"/>
      <c r="F958" s="1"/>
      <c r="G958" s="1"/>
    </row>
    <row r="959" spans="1:7" ht="12.5" x14ac:dyDescent="0.25">
      <c r="A959" s="1"/>
      <c r="B959" s="1"/>
      <c r="C959" s="1"/>
      <c r="D959" s="1"/>
      <c r="E959" s="1"/>
      <c r="F959" s="1"/>
      <c r="G959" s="1"/>
    </row>
    <row r="960" spans="1:7" ht="12.5" x14ac:dyDescent="0.25">
      <c r="A960" s="1"/>
      <c r="B960" s="1"/>
      <c r="C960" s="1"/>
      <c r="D960" s="1"/>
      <c r="E960" s="1"/>
      <c r="F960" s="1"/>
      <c r="G960" s="1"/>
    </row>
    <row r="961" spans="1:7" ht="12.5" x14ac:dyDescent="0.25">
      <c r="A961" s="1"/>
      <c r="B961" s="1"/>
      <c r="C961" s="1"/>
      <c r="D961" s="1"/>
      <c r="E961" s="1"/>
      <c r="F961" s="1"/>
      <c r="G961" s="1"/>
    </row>
    <row r="962" spans="1:7" ht="12.5" x14ac:dyDescent="0.25">
      <c r="A962" s="1"/>
      <c r="B962" s="1"/>
      <c r="C962" s="1"/>
      <c r="D962" s="1"/>
      <c r="E962" s="1"/>
      <c r="F962" s="1"/>
      <c r="G962" s="1"/>
    </row>
    <row r="963" spans="1:7" ht="12.5" x14ac:dyDescent="0.25">
      <c r="A963" s="1"/>
      <c r="B963" s="1"/>
      <c r="C963" s="1"/>
      <c r="D963" s="1"/>
      <c r="E963" s="1"/>
      <c r="F963" s="1"/>
      <c r="G963" s="1"/>
    </row>
    <row r="964" spans="1:7" ht="12.5" x14ac:dyDescent="0.25">
      <c r="A964" s="1"/>
      <c r="B964" s="1"/>
      <c r="C964" s="1"/>
      <c r="D964" s="1"/>
      <c r="E964" s="1"/>
      <c r="F964" s="1"/>
      <c r="G964" s="1"/>
    </row>
    <row r="965" spans="1:7" ht="12.5" x14ac:dyDescent="0.25">
      <c r="A965" s="1"/>
      <c r="B965" s="1"/>
      <c r="C965" s="1"/>
      <c r="D965" s="1"/>
      <c r="E965" s="1"/>
      <c r="F965" s="1"/>
      <c r="G965" s="1"/>
    </row>
    <row r="966" spans="1:7" ht="12.5" x14ac:dyDescent="0.25">
      <c r="A966" s="1"/>
      <c r="B966" s="1"/>
      <c r="C966" s="1"/>
      <c r="D966" s="1"/>
      <c r="E966" s="1"/>
      <c r="F966" s="1"/>
      <c r="G966" s="1"/>
    </row>
    <row r="967" spans="1:7" ht="12.5" x14ac:dyDescent="0.25">
      <c r="A967" s="1"/>
      <c r="B967" s="1"/>
      <c r="C967" s="1"/>
      <c r="D967" s="1"/>
      <c r="E967" s="1"/>
      <c r="F967" s="1"/>
      <c r="G967" s="1"/>
    </row>
    <row r="968" spans="1:7" ht="12.5" x14ac:dyDescent="0.25">
      <c r="A968" s="1"/>
      <c r="B968" s="1"/>
      <c r="C968" s="1"/>
      <c r="D968" s="1"/>
      <c r="E968" s="1"/>
      <c r="F968" s="1"/>
      <c r="G968" s="1"/>
    </row>
    <row r="969" spans="1:7" ht="12.5" x14ac:dyDescent="0.25">
      <c r="A969" s="1"/>
      <c r="B969" s="1"/>
      <c r="C969" s="1"/>
      <c r="D969" s="1"/>
      <c r="E969" s="1"/>
      <c r="F969" s="1"/>
      <c r="G969" s="1"/>
    </row>
    <row r="970" spans="1:7" ht="12.5" x14ac:dyDescent="0.25">
      <c r="A970" s="1"/>
      <c r="B970" s="1"/>
      <c r="C970" s="1"/>
      <c r="D970" s="1"/>
      <c r="E970" s="1"/>
      <c r="F970" s="1"/>
      <c r="G970" s="1"/>
    </row>
    <row r="971" spans="1:7" ht="12.5" x14ac:dyDescent="0.25">
      <c r="A971" s="1"/>
      <c r="B971" s="1"/>
      <c r="C971" s="1"/>
      <c r="D971" s="1"/>
      <c r="E971" s="1"/>
      <c r="F971" s="1"/>
      <c r="G971" s="1"/>
    </row>
    <row r="972" spans="1:7" ht="12.5" x14ac:dyDescent="0.25">
      <c r="A972" s="1"/>
      <c r="B972" s="1"/>
      <c r="C972" s="1"/>
      <c r="D972" s="1"/>
      <c r="E972" s="1"/>
      <c r="F972" s="1"/>
      <c r="G972" s="1"/>
    </row>
    <row r="973" spans="1:7" ht="12.5" x14ac:dyDescent="0.25">
      <c r="A973" s="1"/>
      <c r="B973" s="1"/>
      <c r="C973" s="1"/>
      <c r="D973" s="1"/>
      <c r="E973" s="1"/>
      <c r="F973" s="1"/>
      <c r="G973" s="1"/>
    </row>
    <row r="974" spans="1:7" ht="12.5" x14ac:dyDescent="0.25">
      <c r="A974" s="1"/>
      <c r="B974" s="1"/>
      <c r="C974" s="1"/>
      <c r="D974" s="1"/>
      <c r="E974" s="1"/>
      <c r="F974" s="1"/>
      <c r="G974" s="1"/>
    </row>
    <row r="975" spans="1:7" ht="12.5" x14ac:dyDescent="0.25">
      <c r="A975" s="1"/>
      <c r="B975" s="1"/>
      <c r="C975" s="1"/>
      <c r="D975" s="1"/>
      <c r="E975" s="1"/>
      <c r="F975" s="1"/>
      <c r="G975" s="1"/>
    </row>
    <row r="976" spans="1:7" ht="12.5" x14ac:dyDescent="0.25">
      <c r="A976" s="1"/>
      <c r="B976" s="1"/>
      <c r="C976" s="1"/>
      <c r="D976" s="1"/>
      <c r="E976" s="1"/>
      <c r="F976" s="1"/>
      <c r="G976" s="1"/>
    </row>
    <row r="977" spans="1:7" ht="12.5" x14ac:dyDescent="0.25">
      <c r="A977" s="1"/>
      <c r="B977" s="1"/>
      <c r="C977" s="1"/>
      <c r="D977" s="1"/>
      <c r="E977" s="1"/>
      <c r="F977" s="1"/>
      <c r="G977" s="1"/>
    </row>
    <row r="978" spans="1:7" ht="12.5" x14ac:dyDescent="0.25">
      <c r="A978" s="1"/>
      <c r="B978" s="1"/>
      <c r="C978" s="1"/>
      <c r="D978" s="1"/>
      <c r="E978" s="1"/>
      <c r="F978" s="1"/>
      <c r="G978" s="1"/>
    </row>
    <row r="979" spans="1:7" ht="12.5" x14ac:dyDescent="0.25">
      <c r="A979" s="1"/>
      <c r="B979" s="1"/>
      <c r="C979" s="1"/>
      <c r="D979" s="1"/>
      <c r="E979" s="1"/>
      <c r="F979" s="1"/>
      <c r="G979" s="1"/>
    </row>
    <row r="980" spans="1:7" ht="12.5" x14ac:dyDescent="0.25">
      <c r="A980" s="1"/>
      <c r="B980" s="1"/>
      <c r="C980" s="1"/>
      <c r="D980" s="1"/>
      <c r="E980" s="1"/>
      <c r="F980" s="1"/>
      <c r="G980" s="1"/>
    </row>
    <row r="981" spans="1:7" ht="12.5" x14ac:dyDescent="0.25">
      <c r="A981" s="1"/>
      <c r="B981" s="1"/>
      <c r="C981" s="1"/>
      <c r="D981" s="1"/>
      <c r="E981" s="1"/>
      <c r="F981" s="1"/>
      <c r="G981" s="1"/>
    </row>
    <row r="982" spans="1:7" ht="12.5" x14ac:dyDescent="0.25">
      <c r="A982" s="1"/>
      <c r="B982" s="1"/>
      <c r="C982" s="1"/>
      <c r="D982" s="1"/>
      <c r="E982" s="1"/>
      <c r="F982" s="1"/>
      <c r="G982" s="1"/>
    </row>
    <row r="983" spans="1:7" ht="12.5" x14ac:dyDescent="0.25">
      <c r="A983" s="1"/>
      <c r="B983" s="1"/>
      <c r="C983" s="1"/>
      <c r="D983" s="1"/>
      <c r="E983" s="1"/>
      <c r="F983" s="1"/>
      <c r="G983" s="1"/>
    </row>
    <row r="984" spans="1:7" ht="12.5" x14ac:dyDescent="0.25">
      <c r="A984" s="1"/>
      <c r="B984" s="1"/>
      <c r="C984" s="1"/>
      <c r="D984" s="1"/>
      <c r="E984" s="1"/>
      <c r="F984" s="1"/>
      <c r="G984" s="1"/>
    </row>
    <row r="985" spans="1:7" ht="12.5" x14ac:dyDescent="0.25">
      <c r="A985" s="1"/>
      <c r="B985" s="1"/>
      <c r="C985" s="1"/>
      <c r="D985" s="1"/>
      <c r="E985" s="1"/>
      <c r="F985" s="1"/>
      <c r="G985" s="1"/>
    </row>
    <row r="986" spans="1:7" ht="12.5" x14ac:dyDescent="0.25">
      <c r="A986" s="1"/>
      <c r="B986" s="1"/>
      <c r="C986" s="1"/>
      <c r="D986" s="1"/>
      <c r="E986" s="1"/>
      <c r="F986" s="1"/>
      <c r="G986" s="1"/>
    </row>
    <row r="987" spans="1:7" ht="12.5" x14ac:dyDescent="0.25">
      <c r="A987" s="1"/>
      <c r="B987" s="1"/>
      <c r="C987" s="1"/>
      <c r="D987" s="1"/>
      <c r="E987" s="1"/>
      <c r="F987" s="1"/>
      <c r="G987" s="1"/>
    </row>
    <row r="988" spans="1:7" ht="12.5" x14ac:dyDescent="0.25">
      <c r="A988" s="1"/>
      <c r="B988" s="1"/>
      <c r="C988" s="1"/>
      <c r="D988" s="1"/>
      <c r="E988" s="1"/>
      <c r="F988" s="1"/>
      <c r="G988" s="1"/>
    </row>
    <row r="989" spans="1:7" ht="12.5" x14ac:dyDescent="0.25">
      <c r="A989" s="1"/>
      <c r="B989" s="1"/>
      <c r="C989" s="1"/>
      <c r="D989" s="1"/>
      <c r="E989" s="1"/>
      <c r="F989" s="1"/>
      <c r="G989" s="1"/>
    </row>
    <row r="990" spans="1:7" ht="12.5" x14ac:dyDescent="0.25">
      <c r="A990" s="1"/>
      <c r="B990" s="1"/>
      <c r="C990" s="1"/>
      <c r="D990" s="1"/>
      <c r="E990" s="1"/>
      <c r="F990" s="1"/>
      <c r="G990" s="1"/>
    </row>
    <row r="991" spans="1:7" ht="12.5" x14ac:dyDescent="0.25">
      <c r="A991" s="1"/>
      <c r="B991" s="1"/>
      <c r="C991" s="1"/>
      <c r="D991" s="1"/>
      <c r="E991" s="1"/>
      <c r="F991" s="1"/>
      <c r="G991" s="1"/>
    </row>
    <row r="992" spans="1:7" ht="12.5" x14ac:dyDescent="0.25">
      <c r="A992" s="1"/>
      <c r="B992" s="1"/>
      <c r="C992" s="1"/>
      <c r="D992" s="1"/>
      <c r="E992" s="1"/>
      <c r="F992" s="1"/>
      <c r="G992" s="1"/>
    </row>
    <row r="993" spans="1:7" ht="12.5" x14ac:dyDescent="0.25">
      <c r="A993" s="1"/>
      <c r="B993" s="1"/>
      <c r="C993" s="1"/>
      <c r="D993" s="1"/>
      <c r="E993" s="1"/>
      <c r="F993" s="1"/>
      <c r="G993" s="1"/>
    </row>
    <row r="994" spans="1:7" ht="12.5" x14ac:dyDescent="0.25">
      <c r="A994" s="1"/>
      <c r="B994" s="1"/>
      <c r="C994" s="1"/>
      <c r="D994" s="1"/>
      <c r="E994" s="1"/>
      <c r="F994" s="1"/>
      <c r="G994" s="1"/>
    </row>
    <row r="995" spans="1:7" ht="12.5" x14ac:dyDescent="0.25">
      <c r="A995" s="1"/>
      <c r="B995" s="1"/>
      <c r="C995" s="1"/>
      <c r="D995" s="1"/>
      <c r="E995" s="1"/>
      <c r="F995" s="1"/>
      <c r="G995" s="1"/>
    </row>
    <row r="996" spans="1:7" ht="12.5" x14ac:dyDescent="0.25">
      <c r="A996" s="1"/>
      <c r="B996" s="1"/>
      <c r="C996" s="1"/>
      <c r="D996" s="1"/>
      <c r="E996" s="1"/>
      <c r="F996" s="1"/>
      <c r="G996" s="1"/>
    </row>
    <row r="997" spans="1:7" ht="12.5" x14ac:dyDescent="0.25">
      <c r="A997" s="1"/>
      <c r="B997" s="1"/>
      <c r="C997" s="1"/>
      <c r="D997" s="1"/>
      <c r="E997" s="1"/>
      <c r="F997" s="1"/>
      <c r="G997" s="1"/>
    </row>
    <row r="998" spans="1:7" ht="12.5" x14ac:dyDescent="0.25">
      <c r="A998" s="1"/>
      <c r="B998" s="1"/>
      <c r="C998" s="1"/>
      <c r="D998" s="1"/>
      <c r="E998" s="1"/>
      <c r="F998" s="1"/>
      <c r="G998" s="1"/>
    </row>
    <row r="999" spans="1:7" ht="12.5" x14ac:dyDescent="0.25">
      <c r="A999" s="1"/>
      <c r="B999" s="1"/>
      <c r="C999" s="1"/>
      <c r="D999" s="1"/>
      <c r="E999" s="1"/>
      <c r="F999" s="1"/>
      <c r="G999" s="1"/>
    </row>
    <row r="1000" spans="1:7" ht="12.5" x14ac:dyDescent="0.25">
      <c r="A1000" s="1"/>
      <c r="B1000" s="1"/>
      <c r="C1000" s="1"/>
      <c r="D1000" s="1"/>
      <c r="E1000" s="1"/>
      <c r="F1000" s="1"/>
      <c r="G1000" s="1"/>
    </row>
  </sheetData>
  <mergeCells count="2">
    <mergeCell ref="A1:F24"/>
    <mergeCell ref="D30:E30"/>
  </mergeCells>
  <phoneticPr fontId="4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get_and_draw">
                <anchor moveWithCells="1" sizeWithCells="1">
                  <from>
                    <xdr:col>5</xdr:col>
                    <xdr:colOff>12700</xdr:colOff>
                    <xdr:row>24</xdr:row>
                    <xdr:rowOff>152400</xdr:rowOff>
                  </from>
                  <to>
                    <xdr:col>6</xdr:col>
                    <xdr:colOff>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1.Clear">
                <anchor moveWithCells="1" sizeWithCells="1">
                  <from>
                    <xdr:col>5</xdr:col>
                    <xdr:colOff>12700</xdr:colOff>
                    <xdr:row>28</xdr:row>
                    <xdr:rowOff>165100</xdr:rowOff>
                  </from>
                  <to>
                    <xdr:col>6</xdr:col>
                    <xdr:colOff>0</xdr:colOff>
                    <xdr:row>29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S999"/>
  <sheetViews>
    <sheetView topLeftCell="A7" zoomScale="70" zoomScaleNormal="70" workbookViewId="0">
      <selection activeCell="I16" sqref="I16"/>
    </sheetView>
  </sheetViews>
  <sheetFormatPr defaultColWidth="12.54296875" defaultRowHeight="40" customHeight="1" x14ac:dyDescent="0.25"/>
  <cols>
    <col min="1" max="1" width="5.54296875" style="4" bestFit="1" customWidth="1"/>
    <col min="2" max="2" width="26.453125" style="4" bestFit="1" customWidth="1"/>
    <col min="3" max="3" width="15" style="4" customWidth="1"/>
    <col min="4" max="4" width="4.54296875" style="4" bestFit="1" customWidth="1"/>
    <col min="5" max="5" width="19.26953125" style="4" bestFit="1" customWidth="1"/>
    <col min="6" max="6" width="24.54296875" style="4" bestFit="1" customWidth="1"/>
    <col min="7" max="7" width="15" style="4" customWidth="1"/>
    <col min="8" max="8" width="12.54296875" style="4" customWidth="1"/>
    <col min="9" max="9" width="61.7265625" style="4" customWidth="1"/>
    <col min="10" max="11" width="26.7265625" style="4" customWidth="1"/>
    <col min="12" max="12" width="26.7265625" customWidth="1"/>
    <col min="13" max="13" width="14.453125" style="4" bestFit="1" customWidth="1"/>
    <col min="14" max="14" width="12.54296875" style="4"/>
    <col min="15" max="15" width="5.54296875" style="4" bestFit="1" customWidth="1"/>
    <col min="16" max="16" width="26.453125" style="4" bestFit="1" customWidth="1"/>
    <col min="17" max="17" width="56.26953125" style="4" bestFit="1" customWidth="1"/>
    <col min="18" max="18" width="47" style="4" bestFit="1" customWidth="1"/>
    <col min="19" max="19" width="24.54296875" style="4" bestFit="1" customWidth="1"/>
    <col min="20" max="16384" width="12.54296875" style="4"/>
  </cols>
  <sheetData>
    <row r="1" spans="1:19" ht="40" customHeight="1" x14ac:dyDescent="0.25">
      <c r="A1" s="2">
        <v>1</v>
      </c>
      <c r="B1" s="2" t="s">
        <v>0</v>
      </c>
      <c r="C1" s="3"/>
      <c r="D1" s="3">
        <f t="shared" ref="D1:D32" ca="1" si="0">RANK(M1,$M$1:$M$75)</f>
        <v>28</v>
      </c>
      <c r="E1" s="3" t="str">
        <f ca="1">VLOOKUP(D1,$A$1:$B$75,2)</f>
        <v>シンガポール</v>
      </c>
      <c r="F1" s="3" t="str">
        <f ca="1">VLOOKUP(D1,$O$1:$S$75,5)</f>
        <v>countries_img/SG.gif</v>
      </c>
      <c r="G1" s="3"/>
      <c r="H1" s="3"/>
      <c r="I1" s="3"/>
      <c r="J1" s="13" t="s">
        <v>152</v>
      </c>
      <c r="M1" s="3">
        <f ca="1">RAND()</f>
        <v>0.65752156316578769</v>
      </c>
      <c r="N1" s="3" t="e">
        <f ca="1">IMAGE("https://www.asahi-net.or.jp/~yq3t-hruc/img/IE.gif")</f>
        <v>#NAME?</v>
      </c>
      <c r="O1" s="2">
        <v>1</v>
      </c>
      <c r="P1" s="2" t="s">
        <v>0</v>
      </c>
      <c r="Q1" s="4" t="str">
        <f t="shared" ref="Q1:Q32" ca="1" si="1">_xlfn.FORMULATEXT(N1)</f>
        <v>=IMAGE("https://www.asahi-net.or.jp/~yq3t-hruc/img/IE.gif")</v>
      </c>
      <c r="R1" s="5" t="str">
        <f ca="1">MID(Q1,FIND("(",Q1)+2, FIND(")",Q1) -FIND("(",Q1)-3)</f>
        <v>https://www.asahi-net.or.jp/~yq3t-hruc/img/IE.gif</v>
      </c>
      <c r="S1" s="4" t="s">
        <v>75</v>
      </c>
    </row>
    <row r="2" spans="1:19" ht="40" customHeight="1" x14ac:dyDescent="0.25">
      <c r="A2" s="2">
        <v>2</v>
      </c>
      <c r="B2" s="2" t="s">
        <v>1</v>
      </c>
      <c r="C2" s="3"/>
      <c r="D2" s="3">
        <f t="shared" ca="1" si="0"/>
        <v>57</v>
      </c>
      <c r="E2" s="3" t="str">
        <f t="shared" ref="E2:E65" ca="1" si="2">VLOOKUP(D2,$A$1:$B$75,2)</f>
        <v>ベルギー</v>
      </c>
      <c r="F2" s="3" t="str">
        <f t="shared" ref="F2:F65" ca="1" si="3">VLOOKUP(D2,$O$1:$S$75,5)</f>
        <v>countries_img/BE.gif</v>
      </c>
      <c r="G2" s="3"/>
      <c r="H2" s="3"/>
      <c r="I2" s="3"/>
      <c r="J2" s="3"/>
      <c r="K2" s="3"/>
      <c r="M2" s="3">
        <f t="shared" ref="M2:M65" ca="1" si="4">RAND()</f>
        <v>0.25997965322452099</v>
      </c>
      <c r="N2" s="3" t="e">
        <f ca="1">IMAGE("https://www.asahi-net.or.jp/~yq3t-hruc/img/AZ.gif")</f>
        <v>#NAME?</v>
      </c>
      <c r="O2" s="2">
        <v>2</v>
      </c>
      <c r="P2" s="2" t="s">
        <v>1</v>
      </c>
      <c r="Q2" s="4" t="str">
        <f t="shared" ca="1" si="1"/>
        <v>=IMAGE("https://www.asahi-net.or.jp/~yq3t-hruc/img/AZ.gif")</v>
      </c>
      <c r="R2" s="5" t="str">
        <f t="shared" ref="R2:R65" ca="1" si="5">MID(Q2,FIND("(",Q2)+2, FIND(")",Q2) -FIND("(",Q2)-3)</f>
        <v>https://www.asahi-net.or.jp/~yq3t-hruc/img/AZ.gif</v>
      </c>
      <c r="S2" s="4" t="s">
        <v>76</v>
      </c>
    </row>
    <row r="3" spans="1:19" ht="40" customHeight="1" x14ac:dyDescent="0.55000000000000004">
      <c r="A3" s="2">
        <v>3</v>
      </c>
      <c r="B3" s="2" t="s">
        <v>2</v>
      </c>
      <c r="C3" s="3"/>
      <c r="D3" s="3">
        <f t="shared" ca="1" si="0"/>
        <v>63</v>
      </c>
      <c r="E3" s="3" t="str">
        <f t="shared" ca="1" si="2"/>
        <v>南アフリカ共和国</v>
      </c>
      <c r="F3" s="3" t="str">
        <f t="shared" ca="1" si="3"/>
        <v>countries_img/ZA.gif</v>
      </c>
      <c r="G3" s="3"/>
      <c r="H3" s="3"/>
      <c r="I3" s="3"/>
      <c r="J3" s="12" t="s">
        <v>158</v>
      </c>
      <c r="K3" s="3"/>
      <c r="L3" s="14" t="s">
        <v>159</v>
      </c>
      <c r="M3" s="3">
        <f t="shared" ca="1" si="4"/>
        <v>0.18653480280777157</v>
      </c>
      <c r="N3" s="3" t="e">
        <f ca="1">IMAGE("https://www.asahi-net.or.jp/~yq3t-hruc/img/US.gif")</f>
        <v>#NAME?</v>
      </c>
      <c r="O3" s="2">
        <v>3</v>
      </c>
      <c r="P3" s="2" t="s">
        <v>2</v>
      </c>
      <c r="Q3" s="4" t="str">
        <f ca="1">_xlfn.FORMULATEXT(N3)</f>
        <v>=IMAGE("https://www.asahi-net.or.jp/~yq3t-hruc/img/US.gif")</v>
      </c>
      <c r="R3" s="5" t="str">
        <f t="shared" ca="1" si="5"/>
        <v>https://www.asahi-net.or.jp/~yq3t-hruc/img/US.gif</v>
      </c>
      <c r="S3" s="15" t="s">
        <v>161</v>
      </c>
    </row>
    <row r="4" spans="1:19" ht="40" customHeight="1" x14ac:dyDescent="0.75">
      <c r="A4" s="2">
        <v>4</v>
      </c>
      <c r="B4" s="2" t="s">
        <v>3</v>
      </c>
      <c r="C4" s="3"/>
      <c r="D4" s="3">
        <f t="shared" ca="1" si="0"/>
        <v>21</v>
      </c>
      <c r="E4" s="3" t="str">
        <f t="shared" ca="1" si="2"/>
        <v>キプロス</v>
      </c>
      <c r="F4" s="3" t="str">
        <f t="shared" ca="1" si="3"/>
        <v>countries_img/CY.gif</v>
      </c>
      <c r="G4" s="3"/>
      <c r="H4" s="3"/>
      <c r="I4" s="3"/>
      <c r="J4" s="11" t="s">
        <v>156</v>
      </c>
      <c r="K4" s="3"/>
      <c r="M4" s="3">
        <f t="shared" ca="1" si="4"/>
        <v>0.72063218091314896</v>
      </c>
      <c r="N4" s="3" t="e">
        <f ca="1">IMAGE("https://www.asahi-net.or.jp/~yq3t-hruc/img/AEL.GIF")</f>
        <v>#NAME?</v>
      </c>
      <c r="O4" s="2">
        <v>4</v>
      </c>
      <c r="P4" s="2" t="s">
        <v>3</v>
      </c>
      <c r="Q4" s="4" t="str">
        <f t="shared" ca="1" si="1"/>
        <v>=IMAGE("https://www.asahi-net.or.jp/~yq3t-hruc/img/AEL.GIF")</v>
      </c>
      <c r="R4" s="5" t="str">
        <f t="shared" ca="1" si="5"/>
        <v>https://www.asahi-net.or.jp/~yq3t-hruc/img/AEL.GIF</v>
      </c>
      <c r="S4" s="4" t="s">
        <v>77</v>
      </c>
    </row>
    <row r="5" spans="1:19" ht="40" customHeight="1" x14ac:dyDescent="0.75">
      <c r="A5" s="2">
        <v>5</v>
      </c>
      <c r="B5" s="2" t="s">
        <v>4</v>
      </c>
      <c r="C5" s="3"/>
      <c r="D5" s="3">
        <f t="shared" ca="1" si="0"/>
        <v>48</v>
      </c>
      <c r="E5" s="3" t="str">
        <f t="shared" ca="1" si="2"/>
        <v>フィンランド</v>
      </c>
      <c r="F5" s="3" t="str">
        <f t="shared" ca="1" si="3"/>
        <v>countries_img/FI.gif</v>
      </c>
      <c r="G5" s="3"/>
      <c r="H5" s="3"/>
      <c r="I5" s="3"/>
      <c r="J5" s="11" t="s">
        <v>157</v>
      </c>
      <c r="K5" s="3"/>
      <c r="M5" s="3">
        <f t="shared" ca="1" si="4"/>
        <v>0.37412345292189164</v>
      </c>
      <c r="N5" s="3" t="e">
        <f ca="1">IMAGE("https://www.asahi-net.or.jp/~yq3t-hruc/img/AR.gif")</f>
        <v>#NAME?</v>
      </c>
      <c r="O5" s="2">
        <v>5</v>
      </c>
      <c r="P5" s="2" t="s">
        <v>4</v>
      </c>
      <c r="Q5" s="4" t="str">
        <f t="shared" ca="1" si="1"/>
        <v>=IMAGE("https://www.asahi-net.or.jp/~yq3t-hruc/img/AR.gif")</v>
      </c>
      <c r="R5" s="5" t="str">
        <f t="shared" ca="1" si="5"/>
        <v>https://www.asahi-net.or.jp/~yq3t-hruc/img/AR.gif</v>
      </c>
      <c r="S5" s="4" t="s">
        <v>78</v>
      </c>
    </row>
    <row r="6" spans="1:19" ht="40" customHeight="1" x14ac:dyDescent="0.95">
      <c r="A6" s="2">
        <v>6</v>
      </c>
      <c r="B6" s="2" t="s">
        <v>5</v>
      </c>
      <c r="C6" s="3"/>
      <c r="D6" s="3">
        <f t="shared" ca="1" si="0"/>
        <v>65</v>
      </c>
      <c r="E6" s="3" t="str">
        <f t="shared" ca="1" si="2"/>
        <v>メキシコ</v>
      </c>
      <c r="F6" s="3" t="str">
        <f t="shared" ca="1" si="3"/>
        <v>countries_img/MX.gif</v>
      </c>
      <c r="G6" s="3"/>
      <c r="H6" s="3"/>
      <c r="I6" s="7" t="s">
        <v>149</v>
      </c>
      <c r="J6" s="21" t="s">
        <v>163</v>
      </c>
      <c r="K6" s="3"/>
      <c r="M6" s="3">
        <f t="shared" ca="1" si="4"/>
        <v>0.148278837653113</v>
      </c>
      <c r="N6" s="3" t="e">
        <f ca="1">IMAGE("https://www.asahi-net.or.jp/~yq3t-hruc/img/GB.gif")</f>
        <v>#NAME?</v>
      </c>
      <c r="O6" s="2">
        <v>6</v>
      </c>
      <c r="P6" s="2" t="s">
        <v>5</v>
      </c>
      <c r="Q6" s="4" t="str">
        <f t="shared" ca="1" si="1"/>
        <v>=IMAGE("https://www.asahi-net.or.jp/~yq3t-hruc/img/GB.gif")</v>
      </c>
      <c r="R6" s="5" t="str">
        <f t="shared" ca="1" si="5"/>
        <v>https://www.asahi-net.or.jp/~yq3t-hruc/img/GB.gif</v>
      </c>
      <c r="S6" s="4" t="s">
        <v>79</v>
      </c>
    </row>
    <row r="7" spans="1:19" ht="40" customHeight="1" x14ac:dyDescent="0.25">
      <c r="A7" s="2">
        <v>7</v>
      </c>
      <c r="B7" s="2" t="s">
        <v>6</v>
      </c>
      <c r="C7" s="3"/>
      <c r="D7" s="3">
        <f t="shared" ca="1" si="0"/>
        <v>27</v>
      </c>
      <c r="E7" s="3" t="str">
        <f t="shared" ca="1" si="2"/>
        <v>ジャマイカ</v>
      </c>
      <c r="F7" s="3" t="str">
        <f t="shared" ca="1" si="3"/>
        <v>countries_img/JM.gif</v>
      </c>
      <c r="G7" s="3"/>
      <c r="H7" s="3"/>
      <c r="I7" s="3"/>
      <c r="J7" s="3"/>
      <c r="K7" s="3"/>
      <c r="M7" s="3">
        <f t="shared" ca="1" si="4"/>
        <v>0.67447146488468046</v>
      </c>
      <c r="N7" s="3" t="e">
        <f ca="1">IMAGE("https://www.asahi-net.or.jp/~yq3t-hruc/img/IL.gif")</f>
        <v>#NAME?</v>
      </c>
      <c r="O7" s="2">
        <v>7</v>
      </c>
      <c r="P7" s="2" t="s">
        <v>6</v>
      </c>
      <c r="Q7" s="4" t="str">
        <f t="shared" ca="1" si="1"/>
        <v>=IMAGE("https://www.asahi-net.or.jp/~yq3t-hruc/img/IL.gif")</v>
      </c>
      <c r="R7" s="5" t="str">
        <f t="shared" ca="1" si="5"/>
        <v>https://www.asahi-net.or.jp/~yq3t-hruc/img/IL.gif</v>
      </c>
      <c r="S7" s="4" t="s">
        <v>80</v>
      </c>
    </row>
    <row r="8" spans="1:19" ht="40" customHeight="1" x14ac:dyDescent="0.25">
      <c r="A8" s="2">
        <v>8</v>
      </c>
      <c r="B8" s="2" t="s">
        <v>7</v>
      </c>
      <c r="C8" s="3"/>
      <c r="D8" s="3">
        <f t="shared" ca="1" si="0"/>
        <v>10</v>
      </c>
      <c r="E8" s="3" t="str">
        <f t="shared" ca="1" si="2"/>
        <v>インドネシア</v>
      </c>
      <c r="F8" s="3" t="str">
        <f t="shared" ca="1" si="3"/>
        <v>countries_img/ID.gif</v>
      </c>
      <c r="G8" s="3"/>
      <c r="H8" s="3"/>
      <c r="I8" s="3"/>
      <c r="J8" s="3"/>
      <c r="K8" s="3"/>
      <c r="M8" s="3">
        <f t="shared" ca="1" si="4"/>
        <v>0.848259182364419</v>
      </c>
      <c r="N8" s="3" t="e">
        <f ca="1">IMAGE("https://www.asahi-net.or.jp/~yq3t-hruc/img/IT.gif")</f>
        <v>#NAME?</v>
      </c>
      <c r="O8" s="2">
        <v>8</v>
      </c>
      <c r="P8" s="2" t="s">
        <v>7</v>
      </c>
      <c r="Q8" s="4" t="str">
        <f t="shared" ca="1" si="1"/>
        <v>=IMAGE("https://www.asahi-net.or.jp/~yq3t-hruc/img/IT.gif")</v>
      </c>
      <c r="R8" s="5" t="str">
        <f t="shared" ca="1" si="5"/>
        <v>https://www.asahi-net.or.jp/~yq3t-hruc/img/IT.gif</v>
      </c>
      <c r="S8" s="4" t="s">
        <v>81</v>
      </c>
    </row>
    <row r="9" spans="1:19" ht="40" customHeight="1" x14ac:dyDescent="0.25">
      <c r="A9" s="2">
        <v>9</v>
      </c>
      <c r="B9" s="2" t="s">
        <v>8</v>
      </c>
      <c r="C9" s="3"/>
      <c r="D9" s="3">
        <f t="shared" ca="1" si="0"/>
        <v>49</v>
      </c>
      <c r="E9" s="3" t="str">
        <f t="shared" ca="1" si="2"/>
        <v>ブラジル</v>
      </c>
      <c r="F9" s="3" t="str">
        <f t="shared" ca="1" si="3"/>
        <v>countries_img/BR.gif</v>
      </c>
      <c r="G9" s="3"/>
      <c r="H9" s="3"/>
      <c r="I9" s="3"/>
      <c r="J9" s="3"/>
      <c r="K9" s="3"/>
      <c r="M9" s="3">
        <f t="shared" ca="1" si="4"/>
        <v>0.36673028367958438</v>
      </c>
      <c r="N9" s="3" t="e">
        <f ca="1">IMAGE("https://www.asahi-net.or.jp/~yq3t-hruc/img/IN.gif")</f>
        <v>#NAME?</v>
      </c>
      <c r="O9" s="2">
        <v>9</v>
      </c>
      <c r="P9" s="2" t="s">
        <v>8</v>
      </c>
      <c r="Q9" s="4" t="str">
        <f t="shared" ca="1" si="1"/>
        <v>=IMAGE("https://www.asahi-net.or.jp/~yq3t-hruc/img/IN.gif")</v>
      </c>
      <c r="R9" s="5" t="str">
        <f t="shared" ca="1" si="5"/>
        <v>https://www.asahi-net.or.jp/~yq3t-hruc/img/IN.gif</v>
      </c>
      <c r="S9" s="4" t="s">
        <v>82</v>
      </c>
    </row>
    <row r="10" spans="1:19" ht="40" customHeight="1" x14ac:dyDescent="0.25">
      <c r="A10" s="2">
        <v>10</v>
      </c>
      <c r="B10" s="2" t="s">
        <v>9</v>
      </c>
      <c r="C10" s="3"/>
      <c r="D10" s="3">
        <f t="shared" ca="1" si="0"/>
        <v>47</v>
      </c>
      <c r="E10" s="3" t="str">
        <f t="shared" ca="1" si="2"/>
        <v>フィリピン</v>
      </c>
      <c r="F10" s="3" t="str">
        <f t="shared" ca="1" si="3"/>
        <v>countries_img/PH.gif</v>
      </c>
      <c r="G10" s="3"/>
      <c r="H10" s="3"/>
      <c r="I10" s="3"/>
      <c r="J10" s="3"/>
      <c r="K10" s="3"/>
      <c r="M10" s="3">
        <f t="shared" ca="1" si="4"/>
        <v>0.40258598135706414</v>
      </c>
      <c r="N10" s="3" t="e">
        <f ca="1">IMAGE("https://www.asahi-net.or.jp/~yq3t-hruc/img/ID.gif")</f>
        <v>#NAME?</v>
      </c>
      <c r="O10" s="2">
        <v>10</v>
      </c>
      <c r="P10" s="2" t="s">
        <v>9</v>
      </c>
      <c r="Q10" s="4" t="str">
        <f t="shared" ca="1" si="1"/>
        <v>=IMAGE("https://www.asahi-net.or.jp/~yq3t-hruc/img/ID.gif")</v>
      </c>
      <c r="R10" s="5" t="str">
        <f t="shared" ca="1" si="5"/>
        <v>https://www.asahi-net.or.jp/~yq3t-hruc/img/ID.gif</v>
      </c>
      <c r="S10" s="4" t="s">
        <v>83</v>
      </c>
    </row>
    <row r="11" spans="1:19" ht="40" customHeight="1" x14ac:dyDescent="0.25">
      <c r="A11" s="2">
        <v>11</v>
      </c>
      <c r="B11" s="2" t="s">
        <v>10</v>
      </c>
      <c r="C11" s="3"/>
      <c r="D11" s="3">
        <f t="shared" ca="1" si="0"/>
        <v>25</v>
      </c>
      <c r="E11" s="3" t="str">
        <f t="shared" ca="1" si="2"/>
        <v>サウジアラビア</v>
      </c>
      <c r="F11" s="3" t="str">
        <f t="shared" ca="1" si="3"/>
        <v>countries_img/SA.gif</v>
      </c>
      <c r="G11" s="3"/>
      <c r="H11" s="3"/>
      <c r="I11" s="3"/>
      <c r="J11" s="3"/>
      <c r="K11" s="3"/>
      <c r="M11" s="3">
        <f t="shared" ca="1" si="4"/>
        <v>0.69174649479008632</v>
      </c>
      <c r="N11" s="3" t="e">
        <f ca="1">IMAGE("https://www.asahi-net.or.jp/~yq3t-hruc/img/UY.gif")</f>
        <v>#NAME?</v>
      </c>
      <c r="O11" s="2">
        <v>11</v>
      </c>
      <c r="P11" s="2" t="s">
        <v>10</v>
      </c>
      <c r="Q11" s="4" t="str">
        <f t="shared" ca="1" si="1"/>
        <v>=IMAGE("https://www.asahi-net.or.jp/~yq3t-hruc/img/UY.gif")</v>
      </c>
      <c r="R11" s="5" t="str">
        <f t="shared" ca="1" si="5"/>
        <v>https://www.asahi-net.or.jp/~yq3t-hruc/img/UY.gif</v>
      </c>
      <c r="S11" s="4" t="s">
        <v>84</v>
      </c>
    </row>
    <row r="12" spans="1:19" ht="40" customHeight="1" x14ac:dyDescent="0.25">
      <c r="A12" s="2">
        <v>12</v>
      </c>
      <c r="B12" s="2" t="s">
        <v>11</v>
      </c>
      <c r="C12" s="3"/>
      <c r="D12" s="3">
        <f t="shared" ca="1" si="0"/>
        <v>30</v>
      </c>
      <c r="E12" s="3" t="str">
        <f t="shared" ca="1" si="2"/>
        <v>スペイン</v>
      </c>
      <c r="F12" s="3" t="str">
        <f t="shared" ca="1" si="3"/>
        <v>countries_img/ES.gif</v>
      </c>
      <c r="G12" s="3"/>
      <c r="H12" s="3"/>
      <c r="I12" s="3"/>
      <c r="J12" s="3"/>
      <c r="K12" s="3"/>
      <c r="M12" s="3">
        <f t="shared" ca="1" si="4"/>
        <v>0.61669311047988939</v>
      </c>
      <c r="N12" s="3" t="e">
        <f ca="1">IMAGE("https://www.asahi-net.or.jp/~yq3t-hruc/img/EC.gif")</f>
        <v>#NAME?</v>
      </c>
      <c r="O12" s="2">
        <v>12</v>
      </c>
      <c r="P12" s="2" t="s">
        <v>11</v>
      </c>
      <c r="Q12" s="4" t="str">
        <f t="shared" ca="1" si="1"/>
        <v>=IMAGE("https://www.asahi-net.or.jp/~yq3t-hruc/img/EC.gif")</v>
      </c>
      <c r="R12" s="5" t="str">
        <f t="shared" ca="1" si="5"/>
        <v>https://www.asahi-net.or.jp/~yq3t-hruc/img/EC.gif</v>
      </c>
      <c r="S12" s="4" t="s">
        <v>85</v>
      </c>
    </row>
    <row r="13" spans="1:19" ht="40" customHeight="1" x14ac:dyDescent="0.25">
      <c r="A13" s="2">
        <v>13</v>
      </c>
      <c r="B13" s="2" t="s">
        <v>12</v>
      </c>
      <c r="C13" s="3"/>
      <c r="D13" s="3">
        <f t="shared" ca="1" si="0"/>
        <v>71</v>
      </c>
      <c r="E13" s="3" t="str">
        <f t="shared" ca="1" si="2"/>
        <v>ラトビア</v>
      </c>
      <c r="F13" s="3" t="str">
        <f t="shared" ca="1" si="3"/>
        <v>countries_img/LV.gif</v>
      </c>
      <c r="G13" s="3"/>
      <c r="H13" s="3"/>
      <c r="I13" s="3"/>
      <c r="J13" s="3"/>
      <c r="K13" s="3"/>
      <c r="M13" s="3">
        <f t="shared" ca="1" si="4"/>
        <v>3.9878018858824693E-2</v>
      </c>
      <c r="N13" s="3" t="e">
        <f ca="1">IMAGE("https://www.asahi-net.or.jp/~yq3t-hruc/img/EE.gif")</f>
        <v>#NAME?</v>
      </c>
      <c r="O13" s="2">
        <v>13</v>
      </c>
      <c r="P13" s="2" t="s">
        <v>12</v>
      </c>
      <c r="Q13" s="4" t="str">
        <f t="shared" ca="1" si="1"/>
        <v>=IMAGE("https://www.asahi-net.or.jp/~yq3t-hruc/img/EE.gif")</v>
      </c>
      <c r="R13" s="5" t="str">
        <f t="shared" ca="1" si="5"/>
        <v>https://www.asahi-net.or.jp/~yq3t-hruc/img/EE.gif</v>
      </c>
      <c r="S13" s="4" t="s">
        <v>86</v>
      </c>
    </row>
    <row r="14" spans="1:19" ht="40" customHeight="1" x14ac:dyDescent="0.25">
      <c r="A14" s="2">
        <v>14</v>
      </c>
      <c r="B14" s="2" t="s">
        <v>13</v>
      </c>
      <c r="C14" s="3"/>
      <c r="D14" s="3">
        <f t="shared" ca="1" si="0"/>
        <v>45</v>
      </c>
      <c r="E14" s="3" t="str">
        <f t="shared" ca="1" si="2"/>
        <v>ハンガリー</v>
      </c>
      <c r="F14" s="3" t="str">
        <f t="shared" ca="1" si="3"/>
        <v>countries_img/HU.gif</v>
      </c>
      <c r="G14" s="3"/>
      <c r="H14" s="3"/>
      <c r="I14" s="3"/>
      <c r="J14" s="3"/>
      <c r="K14" s="3"/>
      <c r="M14" s="3">
        <f t="shared" ca="1" si="4"/>
        <v>0.4384336250771681</v>
      </c>
      <c r="N14" s="3" t="e">
        <f ca="1">IMAGE("https://www.asahi-net.or.jp/~yq3t-hruc/img/AU.gif")</f>
        <v>#NAME?</v>
      </c>
      <c r="O14" s="2">
        <v>14</v>
      </c>
      <c r="P14" s="2" t="s">
        <v>13</v>
      </c>
      <c r="Q14" s="4" t="str">
        <f t="shared" ca="1" si="1"/>
        <v>=IMAGE("https://www.asahi-net.or.jp/~yq3t-hruc/img/AU.gif")</v>
      </c>
      <c r="R14" s="5" t="str">
        <f t="shared" ca="1" si="5"/>
        <v>https://www.asahi-net.or.jp/~yq3t-hruc/img/AU.gif</v>
      </c>
      <c r="S14" s="4" t="s">
        <v>87</v>
      </c>
    </row>
    <row r="15" spans="1:19" ht="40" customHeight="1" x14ac:dyDescent="0.25">
      <c r="A15" s="6">
        <v>15</v>
      </c>
      <c r="B15" s="2" t="s">
        <v>14</v>
      </c>
      <c r="C15" s="3"/>
      <c r="D15" s="3">
        <f t="shared" ca="1" si="0"/>
        <v>68</v>
      </c>
      <c r="E15" s="3" t="str">
        <f t="shared" ca="1" si="2"/>
        <v>モンゴル</v>
      </c>
      <c r="F15" s="3" t="str">
        <f t="shared" ca="1" si="3"/>
        <v>countries_img/MN.gif</v>
      </c>
      <c r="G15" s="3"/>
      <c r="H15" s="3"/>
      <c r="I15" s="3"/>
      <c r="J15" s="3"/>
      <c r="K15" s="3"/>
      <c r="M15" s="3">
        <f t="shared" ca="1" si="4"/>
        <v>8.7810607398277174E-2</v>
      </c>
      <c r="N15" s="3" t="e">
        <f ca="1">IMAGE("https://www.asahi-net.or.jp/~yq3t-hruc/img/AT.gif")</f>
        <v>#NAME?</v>
      </c>
      <c r="O15" s="6">
        <v>15</v>
      </c>
      <c r="P15" s="2" t="s">
        <v>14</v>
      </c>
      <c r="Q15" s="4" t="str">
        <f t="shared" ca="1" si="1"/>
        <v>=IMAGE("https://www.asahi-net.or.jp/~yq3t-hruc/img/AT.gif")</v>
      </c>
      <c r="R15" s="5" t="str">
        <f t="shared" ca="1" si="5"/>
        <v>https://www.asahi-net.or.jp/~yq3t-hruc/img/AT.gif</v>
      </c>
      <c r="S15" s="4" t="s">
        <v>88</v>
      </c>
    </row>
    <row r="16" spans="1:19" ht="40" customHeight="1" x14ac:dyDescent="0.25">
      <c r="A16" s="2">
        <v>16</v>
      </c>
      <c r="B16" s="2" t="s">
        <v>15</v>
      </c>
      <c r="C16" s="3"/>
      <c r="D16" s="3">
        <f t="shared" ca="1" si="0"/>
        <v>46</v>
      </c>
      <c r="E16" s="3" t="str">
        <f t="shared" ca="1" si="2"/>
        <v>フィジー</v>
      </c>
      <c r="F16" s="3" t="str">
        <f t="shared" ca="1" si="3"/>
        <v>countries_img/FJ.gif</v>
      </c>
      <c r="G16" s="3"/>
      <c r="H16" s="3"/>
      <c r="I16" s="3"/>
      <c r="J16" s="3"/>
      <c r="K16" s="3"/>
      <c r="M16" s="3">
        <f t="shared" ca="1" si="4"/>
        <v>0.43768297975649151</v>
      </c>
      <c r="N16" s="3" t="e">
        <f ca="1">IMAGE("https://www.asahi-net.or.jp/~yq3t-hruc/img/NL.gif")</f>
        <v>#NAME?</v>
      </c>
      <c r="O16" s="2">
        <v>16</v>
      </c>
      <c r="P16" s="2" t="s">
        <v>15</v>
      </c>
      <c r="Q16" s="4" t="str">
        <f t="shared" ca="1" si="1"/>
        <v>=IMAGE("https://www.asahi-net.or.jp/~yq3t-hruc/img/NL.gif")</v>
      </c>
      <c r="R16" s="5" t="str">
        <f t="shared" ca="1" si="5"/>
        <v>https://www.asahi-net.or.jp/~yq3t-hruc/img/NL.gif</v>
      </c>
      <c r="S16" s="4" t="s">
        <v>89</v>
      </c>
    </row>
    <row r="17" spans="1:19" ht="40" customHeight="1" x14ac:dyDescent="0.25">
      <c r="A17" s="2">
        <v>17</v>
      </c>
      <c r="B17" s="2" t="s">
        <v>16</v>
      </c>
      <c r="C17" s="3"/>
      <c r="D17" s="3">
        <f t="shared" ca="1" si="0"/>
        <v>61</v>
      </c>
      <c r="E17" s="3" t="str">
        <f t="shared" ca="1" si="2"/>
        <v>マルタ</v>
      </c>
      <c r="F17" s="3" t="str">
        <f t="shared" ca="1" si="3"/>
        <v>countries_img/MT.gif</v>
      </c>
      <c r="G17" s="3"/>
      <c r="H17" s="3"/>
      <c r="I17" s="3"/>
      <c r="J17" s="3"/>
      <c r="K17" s="3"/>
      <c r="M17" s="3">
        <f t="shared" ca="1" si="4"/>
        <v>0.18807486159887021</v>
      </c>
      <c r="N17" s="3" t="e">
        <f ca="1">IMAGE("https://www.asahi-net.or.jp/~yq3t-hruc/img/GY.gif")</f>
        <v>#NAME?</v>
      </c>
      <c r="O17" s="2">
        <v>17</v>
      </c>
      <c r="P17" s="2" t="s">
        <v>16</v>
      </c>
      <c r="Q17" s="4" t="str">
        <f t="shared" ca="1" si="1"/>
        <v>=IMAGE("https://www.asahi-net.or.jp/~yq3t-hruc/img/GY.gif")</v>
      </c>
      <c r="R17" s="5" t="str">
        <f t="shared" ca="1" si="5"/>
        <v>https://www.asahi-net.or.jp/~yq3t-hruc/img/GY.gif</v>
      </c>
      <c r="S17" s="4" t="s">
        <v>90</v>
      </c>
    </row>
    <row r="18" spans="1:19" ht="40" customHeight="1" x14ac:dyDescent="0.25">
      <c r="A18" s="2">
        <v>18</v>
      </c>
      <c r="B18" s="2" t="s">
        <v>17</v>
      </c>
      <c r="C18" s="3"/>
      <c r="D18" s="3">
        <f t="shared" ca="1" si="0"/>
        <v>3</v>
      </c>
      <c r="E18" s="3" t="str">
        <f t="shared" ca="1" si="2"/>
        <v>アメリカ合衆国</v>
      </c>
      <c r="F18" s="3" t="str">
        <f t="shared" ca="1" si="3"/>
        <v>countries_img/US.gif</v>
      </c>
      <c r="G18" s="3"/>
      <c r="H18" s="3"/>
      <c r="I18" s="3"/>
      <c r="J18" s="3"/>
      <c r="K18" s="3"/>
      <c r="M18" s="3">
        <f t="shared" ca="1" si="4"/>
        <v>0.95954257072956783</v>
      </c>
      <c r="N18" s="3" t="e">
        <f ca="1">IMAGE("https://www.asahi-net.or.jp/~yq3t-hruc/img/CA.gif")</f>
        <v>#NAME?</v>
      </c>
      <c r="O18" s="2">
        <v>18</v>
      </c>
      <c r="P18" s="2" t="s">
        <v>17</v>
      </c>
      <c r="Q18" s="4" t="str">
        <f t="shared" ca="1" si="1"/>
        <v>=IMAGE("https://www.asahi-net.or.jp/~yq3t-hruc/img/CA.gif")</v>
      </c>
      <c r="R18" s="5" t="str">
        <f t="shared" ca="1" si="5"/>
        <v>https://www.asahi-net.or.jp/~yq3t-hruc/img/CA.gif</v>
      </c>
      <c r="S18" s="4" t="s">
        <v>91</v>
      </c>
    </row>
    <row r="19" spans="1:19" ht="40" customHeight="1" x14ac:dyDescent="0.25">
      <c r="A19" s="2">
        <v>19</v>
      </c>
      <c r="B19" s="2" t="s">
        <v>18</v>
      </c>
      <c r="C19" s="3"/>
      <c r="D19" s="3">
        <f t="shared" ca="1" si="0"/>
        <v>58</v>
      </c>
      <c r="E19" s="3" t="str">
        <f t="shared" ca="1" si="2"/>
        <v>ポーランド</v>
      </c>
      <c r="F19" s="3" t="str">
        <f t="shared" ca="1" si="3"/>
        <v>countries_img/PL.gif</v>
      </c>
      <c r="G19" s="3"/>
      <c r="H19" s="3"/>
      <c r="I19" s="3"/>
      <c r="J19" s="3"/>
      <c r="K19" s="3"/>
      <c r="M19" s="3">
        <f t="shared" ca="1" si="4"/>
        <v>0.25336599151003225</v>
      </c>
      <c r="N19" s="3" t="e">
        <f ca="1">IMAGE("https://www.asahi-net.or.jp/~yq3t-hruc/img/KR.gif")</f>
        <v>#NAME?</v>
      </c>
      <c r="O19" s="2">
        <v>19</v>
      </c>
      <c r="P19" s="2" t="s">
        <v>18</v>
      </c>
      <c r="Q19" s="4" t="str">
        <f t="shared" ca="1" si="1"/>
        <v>=IMAGE("https://www.asahi-net.or.jp/~yq3t-hruc/img/KR.gif")</v>
      </c>
      <c r="R19" s="5" t="str">
        <f t="shared" ca="1" si="5"/>
        <v>https://www.asahi-net.or.jp/~yq3t-hruc/img/KR.gif</v>
      </c>
      <c r="S19" s="4" t="s">
        <v>92</v>
      </c>
    </row>
    <row r="20" spans="1:19" ht="40" customHeight="1" x14ac:dyDescent="0.25">
      <c r="A20" s="2">
        <v>20</v>
      </c>
      <c r="B20" s="2" t="s">
        <v>19</v>
      </c>
      <c r="C20" s="3"/>
      <c r="D20" s="3">
        <f t="shared" ca="1" si="0"/>
        <v>1</v>
      </c>
      <c r="E20" s="3" t="str">
        <f t="shared" ca="1" si="2"/>
        <v>アイルランド</v>
      </c>
      <c r="F20" s="3" t="str">
        <f t="shared" ca="1" si="3"/>
        <v>countries_img/IE.gif</v>
      </c>
      <c r="G20" s="3"/>
      <c r="H20" s="3"/>
      <c r="I20" s="3"/>
      <c r="J20" s="3"/>
      <c r="K20" s="3"/>
      <c r="M20" s="3">
        <f t="shared" ca="1" si="4"/>
        <v>0.98707391043493686</v>
      </c>
      <c r="N20" s="3" t="e">
        <f ca="1">IMAGE("https://www.asahi-net.or.jp/~yq3t-hruc/img/KH.gif")</f>
        <v>#NAME?</v>
      </c>
      <c r="O20" s="2">
        <v>20</v>
      </c>
      <c r="P20" s="2" t="s">
        <v>19</v>
      </c>
      <c r="Q20" s="4" t="str">
        <f t="shared" ca="1" si="1"/>
        <v>=IMAGE("https://www.asahi-net.or.jp/~yq3t-hruc/img/KH.gif")</v>
      </c>
      <c r="R20" s="5" t="str">
        <f t="shared" ca="1" si="5"/>
        <v>https://www.asahi-net.or.jp/~yq3t-hruc/img/KH.gif</v>
      </c>
      <c r="S20" s="4" t="s">
        <v>93</v>
      </c>
    </row>
    <row r="21" spans="1:19" ht="40" customHeight="1" x14ac:dyDescent="0.25">
      <c r="A21" s="2">
        <v>21</v>
      </c>
      <c r="B21" s="2" t="s">
        <v>20</v>
      </c>
      <c r="C21" s="3"/>
      <c r="D21" s="3">
        <f t="shared" ca="1" si="0"/>
        <v>67</v>
      </c>
      <c r="E21" s="3" t="str">
        <f t="shared" ca="1" si="2"/>
        <v>モロッコ</v>
      </c>
      <c r="F21" s="3" t="str">
        <f t="shared" ca="1" si="3"/>
        <v>countries_img/MA.gif</v>
      </c>
      <c r="G21" s="3"/>
      <c r="H21" s="3"/>
      <c r="I21" s="3"/>
      <c r="J21" s="3"/>
      <c r="K21" s="3"/>
      <c r="M21" s="3">
        <f t="shared" ca="1" si="4"/>
        <v>0.10360201100352229</v>
      </c>
      <c r="N21" s="3" t="e">
        <f ca="1">IMAGE("https://www.asahi-net.or.jp/~yq3t-hruc/img/CY.gif")</f>
        <v>#NAME?</v>
      </c>
      <c r="O21" s="2">
        <v>21</v>
      </c>
      <c r="P21" s="2" t="s">
        <v>20</v>
      </c>
      <c r="Q21" s="4" t="str">
        <f t="shared" ca="1" si="1"/>
        <v>=IMAGE("https://www.asahi-net.or.jp/~yq3t-hruc/img/CY.gif")</v>
      </c>
      <c r="R21" s="5" t="str">
        <f t="shared" ca="1" si="5"/>
        <v>https://www.asahi-net.or.jp/~yq3t-hruc/img/CY.gif</v>
      </c>
      <c r="S21" s="4" t="s">
        <v>94</v>
      </c>
    </row>
    <row r="22" spans="1:19" ht="40" customHeight="1" x14ac:dyDescent="0.25">
      <c r="A22" s="2">
        <v>22</v>
      </c>
      <c r="B22" s="2" t="s">
        <v>21</v>
      </c>
      <c r="C22" s="3"/>
      <c r="D22" s="3">
        <f t="shared" ca="1" si="0"/>
        <v>74</v>
      </c>
      <c r="E22" s="3" t="str">
        <f t="shared" ca="1" si="2"/>
        <v>ルクセンブルク</v>
      </c>
      <c r="F22" s="3" t="str">
        <f t="shared" ca="1" si="3"/>
        <v>countries_img/LU.gif</v>
      </c>
      <c r="G22" s="3"/>
      <c r="H22" s="3"/>
      <c r="I22" s="3"/>
      <c r="J22" s="3"/>
      <c r="K22" s="3"/>
      <c r="M22" s="3">
        <f t="shared" ca="1" si="4"/>
        <v>2.6251162159219632E-2</v>
      </c>
      <c r="N22" s="3" t="e">
        <f ca="1">IMAGE("https://www.asahi-net.or.jp/~yq3t-hruc/img/GR02.gif")</f>
        <v>#NAME?</v>
      </c>
      <c r="O22" s="2">
        <v>22</v>
      </c>
      <c r="P22" s="2" t="s">
        <v>21</v>
      </c>
      <c r="Q22" s="4" t="str">
        <f t="shared" ca="1" si="1"/>
        <v>=IMAGE("https://www.asahi-net.or.jp/~yq3t-hruc/img/GR02.gif")</v>
      </c>
      <c r="R22" s="5" t="str">
        <f t="shared" ca="1" si="5"/>
        <v>https://www.asahi-net.or.jp/~yq3t-hruc/img/GR02.gif</v>
      </c>
      <c r="S22" s="4" t="s">
        <v>95</v>
      </c>
    </row>
    <row r="23" spans="1:19" ht="40" customHeight="1" x14ac:dyDescent="0.25">
      <c r="A23" s="2">
        <v>23</v>
      </c>
      <c r="B23" s="2" t="s">
        <v>22</v>
      </c>
      <c r="C23" s="3"/>
      <c r="D23" s="3">
        <f t="shared" ca="1" si="0"/>
        <v>26</v>
      </c>
      <c r="E23" s="3" t="str">
        <f t="shared" ca="1" si="2"/>
        <v>サンマリノ</v>
      </c>
      <c r="F23" s="3" t="str">
        <f t="shared" ca="1" si="3"/>
        <v>countries_img/SM.gif</v>
      </c>
      <c r="G23" s="3"/>
      <c r="H23" s="3"/>
      <c r="I23" s="3"/>
      <c r="J23" s="3"/>
      <c r="K23" s="3"/>
      <c r="M23" s="3">
        <f t="shared" ca="1" si="4"/>
        <v>0.67957450734173896</v>
      </c>
      <c r="N23" s="3" t="e">
        <f ca="1">IMAGE("https://www.asahi-net.or.jp/~yq3t-hruc/img/HR.gif")</f>
        <v>#NAME?</v>
      </c>
      <c r="O23" s="2">
        <v>23</v>
      </c>
      <c r="P23" s="2" t="s">
        <v>22</v>
      </c>
      <c r="Q23" s="4" t="str">
        <f t="shared" ca="1" si="1"/>
        <v>=IMAGE("https://www.asahi-net.or.jp/~yq3t-hruc/img/HR.gif")</v>
      </c>
      <c r="R23" s="5" t="str">
        <f t="shared" ca="1" si="5"/>
        <v>https://www.asahi-net.or.jp/~yq3t-hruc/img/HR.gif</v>
      </c>
      <c r="S23" s="4" t="s">
        <v>96</v>
      </c>
    </row>
    <row r="24" spans="1:19" ht="40" customHeight="1" x14ac:dyDescent="0.25">
      <c r="A24" s="2">
        <v>24</v>
      </c>
      <c r="B24" s="2" t="s">
        <v>23</v>
      </c>
      <c r="C24" s="3"/>
      <c r="D24" s="3">
        <f t="shared" ca="1" si="0"/>
        <v>60</v>
      </c>
      <c r="E24" s="3" t="str">
        <f t="shared" ca="1" si="2"/>
        <v>ポルトガル</v>
      </c>
      <c r="F24" s="3" t="str">
        <f t="shared" ca="1" si="3"/>
        <v>countries_img/PT.gif</v>
      </c>
      <c r="G24" s="3"/>
      <c r="H24" s="3"/>
      <c r="I24" s="3"/>
      <c r="J24" s="3"/>
      <c r="K24" s="3"/>
      <c r="M24" s="3">
        <f t="shared" ca="1" si="4"/>
        <v>0.19159221221016376</v>
      </c>
      <c r="N24" s="3" t="e">
        <f ca="1">IMAGE("https://www.asahi-net.or.jp/~yq3t-hruc/img/CO.gif")</f>
        <v>#NAME?</v>
      </c>
      <c r="O24" s="2">
        <v>24</v>
      </c>
      <c r="P24" s="2" t="s">
        <v>23</v>
      </c>
      <c r="Q24" s="4" t="str">
        <f t="shared" ca="1" si="1"/>
        <v>=IMAGE("https://www.asahi-net.or.jp/~yq3t-hruc/img/CO.gif")</v>
      </c>
      <c r="R24" s="5" t="str">
        <f t="shared" ca="1" si="5"/>
        <v>https://www.asahi-net.or.jp/~yq3t-hruc/img/CO.gif</v>
      </c>
      <c r="S24" s="4" t="s">
        <v>97</v>
      </c>
    </row>
    <row r="25" spans="1:19" ht="40" customHeight="1" x14ac:dyDescent="0.25">
      <c r="A25" s="2">
        <v>25</v>
      </c>
      <c r="B25" s="2" t="s">
        <v>24</v>
      </c>
      <c r="C25" s="3"/>
      <c r="D25" s="3">
        <f t="shared" ca="1" si="0"/>
        <v>73</v>
      </c>
      <c r="E25" s="3" t="str">
        <f t="shared" ca="1" si="2"/>
        <v>ルーマニア</v>
      </c>
      <c r="F25" s="3" t="str">
        <f t="shared" ca="1" si="3"/>
        <v>countries_img/RO.gif</v>
      </c>
      <c r="G25" s="3"/>
      <c r="H25" s="3"/>
      <c r="I25" s="3"/>
      <c r="J25" s="3"/>
      <c r="K25" s="3"/>
      <c r="M25" s="3">
        <f t="shared" ca="1" si="4"/>
        <v>2.9828978920723337E-2</v>
      </c>
      <c r="N25" s="3" t="e">
        <f ca="1">IMAGE("https://www.asahi-net.or.jp/~yq3t-hruc/img/SA.gif")</f>
        <v>#NAME?</v>
      </c>
      <c r="O25" s="2">
        <v>25</v>
      </c>
      <c r="P25" s="2" t="s">
        <v>24</v>
      </c>
      <c r="Q25" s="4" t="str">
        <f t="shared" ca="1" si="1"/>
        <v>=IMAGE("https://www.asahi-net.or.jp/~yq3t-hruc/img/SA.gif")</v>
      </c>
      <c r="R25" s="5" t="str">
        <f t="shared" ca="1" si="5"/>
        <v>https://www.asahi-net.or.jp/~yq3t-hruc/img/SA.gif</v>
      </c>
      <c r="S25" s="4" t="s">
        <v>98</v>
      </c>
    </row>
    <row r="26" spans="1:19" ht="40" customHeight="1" x14ac:dyDescent="0.25">
      <c r="A26" s="2">
        <v>26</v>
      </c>
      <c r="B26" s="2" t="s">
        <v>25</v>
      </c>
      <c r="C26" s="3"/>
      <c r="D26" s="3">
        <f t="shared" ca="1" si="0"/>
        <v>29</v>
      </c>
      <c r="E26" s="3" t="str">
        <f t="shared" ca="1" si="2"/>
        <v>スウェーデン</v>
      </c>
      <c r="F26" s="3" t="str">
        <f t="shared" ca="1" si="3"/>
        <v>countries_img/SE.gif</v>
      </c>
      <c r="G26" s="3"/>
      <c r="H26" s="3"/>
      <c r="I26" s="3"/>
      <c r="J26" s="3"/>
      <c r="K26" s="3"/>
      <c r="M26" s="3">
        <f t="shared" ca="1" si="4"/>
        <v>0.64534487315981148</v>
      </c>
      <c r="N26" s="3" t="e">
        <f ca="1">IMAGE("https://www.asahi-net.or.jp/~yq3t-hruc/img/SM.gif")</f>
        <v>#NAME?</v>
      </c>
      <c r="O26" s="2">
        <v>26</v>
      </c>
      <c r="P26" s="2" t="s">
        <v>25</v>
      </c>
      <c r="Q26" s="4" t="str">
        <f t="shared" ca="1" si="1"/>
        <v>=IMAGE("https://www.asahi-net.or.jp/~yq3t-hruc/img/SM.gif")</v>
      </c>
      <c r="R26" s="5" t="str">
        <f t="shared" ca="1" si="5"/>
        <v>https://www.asahi-net.or.jp/~yq3t-hruc/img/SM.gif</v>
      </c>
      <c r="S26" s="4" t="s">
        <v>99</v>
      </c>
    </row>
    <row r="27" spans="1:19" ht="40" customHeight="1" x14ac:dyDescent="0.25">
      <c r="A27" s="2">
        <v>27</v>
      </c>
      <c r="B27" s="2" t="s">
        <v>26</v>
      </c>
      <c r="C27" s="3"/>
      <c r="D27" s="3">
        <f t="shared" ca="1" si="0"/>
        <v>2</v>
      </c>
      <c r="E27" s="3" t="str">
        <f t="shared" ca="1" si="2"/>
        <v>アゼルバイジャン</v>
      </c>
      <c r="F27" s="3" t="str">
        <f t="shared" ca="1" si="3"/>
        <v>countries_img/AZ.gif</v>
      </c>
      <c r="G27" s="3"/>
      <c r="H27" s="3"/>
      <c r="I27" s="3"/>
      <c r="J27" s="3"/>
      <c r="K27" s="3"/>
      <c r="M27" s="3">
        <f t="shared" ca="1" si="4"/>
        <v>0.96064784264613245</v>
      </c>
      <c r="N27" s="3" t="e">
        <f ca="1">IMAGE("https://www.asahi-net.or.jp/~yq3t-hruc/img/JM.gif")</f>
        <v>#NAME?</v>
      </c>
      <c r="O27" s="2">
        <v>27</v>
      </c>
      <c r="P27" s="2" t="s">
        <v>26</v>
      </c>
      <c r="Q27" s="4" t="str">
        <f t="shared" ca="1" si="1"/>
        <v>=IMAGE("https://www.asahi-net.or.jp/~yq3t-hruc/img/JM.gif")</v>
      </c>
      <c r="R27" s="5" t="str">
        <f t="shared" ca="1" si="5"/>
        <v>https://www.asahi-net.or.jp/~yq3t-hruc/img/JM.gif</v>
      </c>
      <c r="S27" s="4" t="s">
        <v>100</v>
      </c>
    </row>
    <row r="28" spans="1:19" ht="40" customHeight="1" x14ac:dyDescent="0.25">
      <c r="A28" s="2">
        <v>28</v>
      </c>
      <c r="B28" s="2" t="s">
        <v>27</v>
      </c>
      <c r="C28" s="3"/>
      <c r="D28" s="3">
        <f t="shared" ca="1" si="0"/>
        <v>43</v>
      </c>
      <c r="E28" s="3" t="str">
        <f t="shared" ca="1" si="2"/>
        <v>バチカン市国</v>
      </c>
      <c r="F28" s="3" t="str">
        <f t="shared" ca="1" si="3"/>
        <v>countries_img/VA.gif</v>
      </c>
      <c r="G28" s="3"/>
      <c r="H28" s="3"/>
      <c r="I28" s="3"/>
      <c r="J28" s="3"/>
      <c r="K28" s="3"/>
      <c r="M28" s="3">
        <f t="shared" ca="1" si="4"/>
        <v>0.45417118799895184</v>
      </c>
      <c r="N28" s="3" t="e">
        <f ca="1">IMAGE("https://www.asahi-net.or.jp/~yq3t-hruc/img/SG.gif")</f>
        <v>#NAME?</v>
      </c>
      <c r="O28" s="2">
        <v>28</v>
      </c>
      <c r="P28" s="2" t="s">
        <v>27</v>
      </c>
      <c r="Q28" s="4" t="str">
        <f t="shared" ca="1" si="1"/>
        <v>=IMAGE("https://www.asahi-net.or.jp/~yq3t-hruc/img/SG.gif")</v>
      </c>
      <c r="R28" s="5" t="str">
        <f t="shared" ca="1" si="5"/>
        <v>https://www.asahi-net.or.jp/~yq3t-hruc/img/SG.gif</v>
      </c>
      <c r="S28" s="4" t="s">
        <v>101</v>
      </c>
    </row>
    <row r="29" spans="1:19" ht="40" customHeight="1" x14ac:dyDescent="0.25">
      <c r="A29" s="2">
        <v>29</v>
      </c>
      <c r="B29" s="2" t="s">
        <v>28</v>
      </c>
      <c r="C29" s="3"/>
      <c r="D29" s="3">
        <f t="shared" ca="1" si="0"/>
        <v>70</v>
      </c>
      <c r="E29" s="3" t="str">
        <f t="shared" ca="1" si="2"/>
        <v>ラオス</v>
      </c>
      <c r="F29" s="3" t="str">
        <f t="shared" ca="1" si="3"/>
        <v>countries_img/LA.gif</v>
      </c>
      <c r="G29" s="3"/>
      <c r="H29" s="3"/>
      <c r="I29" s="8" t="s">
        <v>151</v>
      </c>
      <c r="J29" s="3"/>
      <c r="K29" s="3"/>
      <c r="M29" s="3">
        <f t="shared" ca="1" si="4"/>
        <v>7.1764726705315973E-2</v>
      </c>
      <c r="N29" s="3" t="e">
        <f ca="1">IMAGE("https://www.asahi-net.or.jp/~yq3t-hruc/img/SE.gif")</f>
        <v>#NAME?</v>
      </c>
      <c r="O29" s="2">
        <v>29</v>
      </c>
      <c r="P29" s="2" t="s">
        <v>28</v>
      </c>
      <c r="Q29" s="4" t="str">
        <f t="shared" ca="1" si="1"/>
        <v>=IMAGE("https://www.asahi-net.or.jp/~yq3t-hruc/img/SE.gif")</v>
      </c>
      <c r="R29" s="5" t="str">
        <f t="shared" ca="1" si="5"/>
        <v>https://www.asahi-net.or.jp/~yq3t-hruc/img/SE.gif</v>
      </c>
      <c r="S29" s="4" t="s">
        <v>102</v>
      </c>
    </row>
    <row r="30" spans="1:19" ht="40" customHeight="1" x14ac:dyDescent="0.25">
      <c r="A30" s="6">
        <v>30</v>
      </c>
      <c r="B30" s="2" t="s">
        <v>29</v>
      </c>
      <c r="C30" s="3"/>
      <c r="D30" s="3">
        <f t="shared" ca="1" si="0"/>
        <v>72</v>
      </c>
      <c r="E30" s="3" t="str">
        <f t="shared" ca="1" si="2"/>
        <v>リトアニア</v>
      </c>
      <c r="F30" s="3" t="str">
        <f t="shared" ca="1" si="3"/>
        <v>countries_img/LT.gif</v>
      </c>
      <c r="G30" s="3"/>
      <c r="H30" s="3"/>
      <c r="I30" s="8" t="s">
        <v>150</v>
      </c>
      <c r="J30" s="3"/>
      <c r="K30" s="3"/>
      <c r="M30" s="3">
        <f t="shared" ca="1" si="4"/>
        <v>3.8398924825019054E-2</v>
      </c>
      <c r="N30" s="3" t="e">
        <f ca="1">IMAGE("https://www.asahi-net.or.jp/~yq3t-hruc/img/ES.gif")</f>
        <v>#NAME?</v>
      </c>
      <c r="O30" s="6">
        <v>30</v>
      </c>
      <c r="P30" s="2" t="s">
        <v>29</v>
      </c>
      <c r="Q30" s="4" t="str">
        <f t="shared" ca="1" si="1"/>
        <v>=IMAGE("https://www.asahi-net.or.jp/~yq3t-hruc/img/ES.gif")</v>
      </c>
      <c r="R30" s="5" t="str">
        <f t="shared" ca="1" si="5"/>
        <v>https://www.asahi-net.or.jp/~yq3t-hruc/img/ES.gif</v>
      </c>
      <c r="S30" s="4" t="s">
        <v>103</v>
      </c>
    </row>
    <row r="31" spans="1:19" ht="40" customHeight="1" x14ac:dyDescent="0.25">
      <c r="A31" s="2">
        <v>31</v>
      </c>
      <c r="B31" s="2" t="s">
        <v>30</v>
      </c>
      <c r="C31" s="3"/>
      <c r="D31" s="3">
        <f t="shared" ca="1" si="0"/>
        <v>34</v>
      </c>
      <c r="E31" s="3" t="str">
        <f t="shared" ca="1" si="2"/>
        <v>タイ</v>
      </c>
      <c r="F31" s="3" t="str">
        <f t="shared" ca="1" si="3"/>
        <v>countries_img/TH.gif</v>
      </c>
      <c r="G31" s="3"/>
      <c r="H31" s="3"/>
      <c r="I31" s="3"/>
      <c r="J31" s="3"/>
      <c r="K31" s="3"/>
      <c r="M31" s="3">
        <f t="shared" ca="1" si="4"/>
        <v>0.56490591714688265</v>
      </c>
      <c r="N31" s="3" t="e">
        <f ca="1">IMAGE("https://www.asahi-net.or.jp/~yq3t-hruc/img/SR.gif")</f>
        <v>#NAME?</v>
      </c>
      <c r="O31" s="2">
        <v>31</v>
      </c>
      <c r="P31" s="2" t="s">
        <v>30</v>
      </c>
      <c r="Q31" s="4" t="str">
        <f t="shared" ca="1" si="1"/>
        <v>=IMAGE("https://www.asahi-net.or.jp/~yq3t-hruc/img/SR.gif")</v>
      </c>
      <c r="R31" s="5" t="str">
        <f t="shared" ca="1" si="5"/>
        <v>https://www.asahi-net.or.jp/~yq3t-hruc/img/SR.gif</v>
      </c>
      <c r="S31" s="4" t="s">
        <v>104</v>
      </c>
    </row>
    <row r="32" spans="1:19" ht="40" customHeight="1" x14ac:dyDescent="0.25">
      <c r="A32" s="2">
        <v>32</v>
      </c>
      <c r="B32" s="2" t="s">
        <v>31</v>
      </c>
      <c r="C32" s="3"/>
      <c r="D32" s="3">
        <f t="shared" ca="1" si="0"/>
        <v>22</v>
      </c>
      <c r="E32" s="3" t="str">
        <f t="shared" ca="1" si="2"/>
        <v>ギリシャ</v>
      </c>
      <c r="F32" s="3" t="str">
        <f t="shared" ca="1" si="3"/>
        <v>countries_img/GR02.gif</v>
      </c>
      <c r="G32" s="3"/>
      <c r="H32" s="3"/>
      <c r="I32" s="3"/>
      <c r="J32" s="3"/>
      <c r="K32" s="3"/>
      <c r="M32" s="3">
        <f t="shared" ca="1" si="4"/>
        <v>0.71311930049333028</v>
      </c>
      <c r="N32" s="3" t="e">
        <f ca="1">IMAGE("https://www.asahi-net.or.jp/~yq3t-hruc/img/SK.gif")</f>
        <v>#NAME?</v>
      </c>
      <c r="O32" s="2">
        <v>32</v>
      </c>
      <c r="P32" s="2" t="s">
        <v>31</v>
      </c>
      <c r="Q32" s="4" t="str">
        <f t="shared" ca="1" si="1"/>
        <v>=IMAGE("https://www.asahi-net.or.jp/~yq3t-hruc/img/SK.gif")</v>
      </c>
      <c r="R32" s="5" t="str">
        <f t="shared" ca="1" si="5"/>
        <v>https://www.asahi-net.or.jp/~yq3t-hruc/img/SK.gif</v>
      </c>
      <c r="S32" s="4" t="s">
        <v>105</v>
      </c>
    </row>
    <row r="33" spans="1:19" ht="40" customHeight="1" x14ac:dyDescent="0.25">
      <c r="A33" s="2">
        <v>33</v>
      </c>
      <c r="B33" s="2" t="s">
        <v>32</v>
      </c>
      <c r="C33" s="3"/>
      <c r="D33" s="3">
        <f t="shared" ref="D33:D64" ca="1" si="6">RANK(M33,$M$1:$M$75)</f>
        <v>13</v>
      </c>
      <c r="E33" s="3" t="str">
        <f t="shared" ca="1" si="2"/>
        <v>エストニア</v>
      </c>
      <c r="F33" s="3" t="str">
        <f t="shared" ca="1" si="3"/>
        <v>countries_img/EE.gif</v>
      </c>
      <c r="G33" s="3"/>
      <c r="H33" s="3"/>
      <c r="I33" s="3"/>
      <c r="J33" s="3"/>
      <c r="K33" s="3"/>
      <c r="M33" s="3">
        <f t="shared" ca="1" si="4"/>
        <v>0.82871947169299798</v>
      </c>
      <c r="N33" s="3" t="e">
        <f ca="1">IMAGE("https://www.asahi-net.or.jp/~yq3t-hruc/img/SI.gif")</f>
        <v>#NAME?</v>
      </c>
      <c r="O33" s="2">
        <v>33</v>
      </c>
      <c r="P33" s="2" t="s">
        <v>32</v>
      </c>
      <c r="Q33" s="4" t="str">
        <f t="shared" ref="Q33:Q64" ca="1" si="7">_xlfn.FORMULATEXT(N33)</f>
        <v>=IMAGE("https://www.asahi-net.or.jp/~yq3t-hruc/img/SI.gif")</v>
      </c>
      <c r="R33" s="5" t="str">
        <f t="shared" ca="1" si="5"/>
        <v>https://www.asahi-net.or.jp/~yq3t-hruc/img/SI.gif</v>
      </c>
      <c r="S33" s="4" t="s">
        <v>106</v>
      </c>
    </row>
    <row r="34" spans="1:19" ht="40" customHeight="1" x14ac:dyDescent="0.25">
      <c r="A34" s="2">
        <v>34</v>
      </c>
      <c r="B34" s="2" t="s">
        <v>33</v>
      </c>
      <c r="C34" s="3"/>
      <c r="D34" s="3">
        <f t="shared" ca="1" si="6"/>
        <v>39</v>
      </c>
      <c r="E34" s="3" t="str">
        <f t="shared" ca="1" si="2"/>
        <v>ドイツ</v>
      </c>
      <c r="F34" s="3" t="str">
        <f t="shared" ca="1" si="3"/>
        <v>countries_img/DE.gif</v>
      </c>
      <c r="G34" s="3"/>
      <c r="H34" s="3"/>
      <c r="I34" s="3"/>
      <c r="J34" s="3"/>
      <c r="K34" s="3"/>
      <c r="M34" s="3">
        <f t="shared" ca="1" si="4"/>
        <v>0.55395769635026904</v>
      </c>
      <c r="N34" s="3" t="e">
        <f ca="1">IMAGE("https://www.asahi-net.or.jp/~yq3t-hruc/img/TH.gif")</f>
        <v>#NAME?</v>
      </c>
      <c r="O34" s="2">
        <v>34</v>
      </c>
      <c r="P34" s="2" t="s">
        <v>33</v>
      </c>
      <c r="Q34" s="4" t="str">
        <f t="shared" ca="1" si="7"/>
        <v>=IMAGE("https://www.asahi-net.or.jp/~yq3t-hruc/img/TH.gif")</v>
      </c>
      <c r="R34" s="5" t="str">
        <f t="shared" ca="1" si="5"/>
        <v>https://www.asahi-net.or.jp/~yq3t-hruc/img/TH.gif</v>
      </c>
      <c r="S34" s="4" t="s">
        <v>107</v>
      </c>
    </row>
    <row r="35" spans="1:19" ht="40" customHeight="1" x14ac:dyDescent="0.25">
      <c r="A35" s="2">
        <v>35</v>
      </c>
      <c r="B35" s="2" t="s">
        <v>34</v>
      </c>
      <c r="C35" s="3"/>
      <c r="D35" s="3">
        <f t="shared" ca="1" si="6"/>
        <v>31</v>
      </c>
      <c r="E35" s="3" t="str">
        <f t="shared" ca="1" si="2"/>
        <v>スリナム</v>
      </c>
      <c r="F35" s="3" t="str">
        <f t="shared" ca="1" si="3"/>
        <v>countries_img/SR.gif</v>
      </c>
      <c r="G35" s="3"/>
      <c r="H35" s="3"/>
      <c r="I35" s="3"/>
      <c r="J35" s="3"/>
      <c r="K35" s="3"/>
      <c r="M35" s="3">
        <f t="shared" ca="1" si="4"/>
        <v>0.61385565731285929</v>
      </c>
      <c r="N35" s="3" t="e">
        <f ca="1">IMAGE("https://www.asahi-net.or.jp/~yq3t-hruc/img/CZ.gif")</f>
        <v>#NAME?</v>
      </c>
      <c r="O35" s="2">
        <v>35</v>
      </c>
      <c r="P35" s="2" t="s">
        <v>34</v>
      </c>
      <c r="Q35" s="4" t="str">
        <f t="shared" ca="1" si="7"/>
        <v>=IMAGE("https://www.asahi-net.or.jp/~yq3t-hruc/img/CZ.gif")</v>
      </c>
      <c r="R35" s="5" t="str">
        <f t="shared" ca="1" si="5"/>
        <v>https://www.asahi-net.or.jp/~yq3t-hruc/img/CZ.gif</v>
      </c>
      <c r="S35" s="4" t="s">
        <v>108</v>
      </c>
    </row>
    <row r="36" spans="1:19" ht="40" customHeight="1" x14ac:dyDescent="0.25">
      <c r="A36" s="2">
        <v>36</v>
      </c>
      <c r="B36" s="2" t="s">
        <v>35</v>
      </c>
      <c r="C36" s="3"/>
      <c r="D36" s="3">
        <f t="shared" ca="1" si="6"/>
        <v>64</v>
      </c>
      <c r="E36" s="3" t="str">
        <f t="shared" ca="1" si="2"/>
        <v>ミャンマー</v>
      </c>
      <c r="F36" s="3" t="str">
        <f t="shared" ca="1" si="3"/>
        <v>countries_img/MM.gif</v>
      </c>
      <c r="G36" s="3"/>
      <c r="H36" s="3"/>
      <c r="I36" s="3"/>
      <c r="J36" s="3"/>
      <c r="K36" s="3"/>
      <c r="M36" s="3">
        <f t="shared" ca="1" si="4"/>
        <v>0.16371134587795622</v>
      </c>
      <c r="N36" s="3" t="e">
        <f ca="1">IMAGE("https://www.asahi-net.or.jp/~yq3t-hruc/img/CN.gif")</f>
        <v>#NAME?</v>
      </c>
      <c r="O36" s="2">
        <v>36</v>
      </c>
      <c r="P36" s="2" t="s">
        <v>35</v>
      </c>
      <c r="Q36" s="4" t="str">
        <f t="shared" ca="1" si="7"/>
        <v>=IMAGE("https://www.asahi-net.or.jp/~yq3t-hruc/img/CN.gif")</v>
      </c>
      <c r="R36" s="5" t="str">
        <f t="shared" ca="1" si="5"/>
        <v>https://www.asahi-net.or.jp/~yq3t-hruc/img/CN.gif</v>
      </c>
      <c r="S36" s="4" t="s">
        <v>109</v>
      </c>
    </row>
    <row r="37" spans="1:19" ht="40" customHeight="1" x14ac:dyDescent="0.25">
      <c r="A37" s="2">
        <v>37</v>
      </c>
      <c r="B37" s="2" t="s">
        <v>36</v>
      </c>
      <c r="C37" s="3"/>
      <c r="D37" s="3">
        <f t="shared" ca="1" si="6"/>
        <v>53</v>
      </c>
      <c r="E37" s="3" t="str">
        <f t="shared" ca="1" si="2"/>
        <v>ベトナム</v>
      </c>
      <c r="F37" s="3" t="str">
        <f t="shared" ca="1" si="3"/>
        <v>countries_img/VN.gif</v>
      </c>
      <c r="G37" s="3"/>
      <c r="H37" s="3"/>
      <c r="I37" s="3"/>
      <c r="J37" s="3"/>
      <c r="K37" s="3"/>
      <c r="M37" s="3">
        <f t="shared" ca="1" si="4"/>
        <v>0.30947343172878783</v>
      </c>
      <c r="N37" s="3" t="e">
        <f ca="1">IMAGE("https://www.asahi-net.or.jp/~yq3t-hruc/img/CL.gif")</f>
        <v>#NAME?</v>
      </c>
      <c r="O37" s="2">
        <v>37</v>
      </c>
      <c r="P37" s="2" t="s">
        <v>36</v>
      </c>
      <c r="Q37" s="4" t="str">
        <f t="shared" ca="1" si="7"/>
        <v>=IMAGE("https://www.asahi-net.or.jp/~yq3t-hruc/img/CL.gif")</v>
      </c>
      <c r="R37" s="5" t="str">
        <f t="shared" ca="1" si="5"/>
        <v>https://www.asahi-net.or.jp/~yq3t-hruc/img/CL.gif</v>
      </c>
      <c r="S37" s="4" t="s">
        <v>110</v>
      </c>
    </row>
    <row r="38" spans="1:19" ht="40" customHeight="1" x14ac:dyDescent="0.25">
      <c r="A38" s="2">
        <v>38</v>
      </c>
      <c r="B38" s="2" t="s">
        <v>37</v>
      </c>
      <c r="C38" s="3"/>
      <c r="D38" s="3">
        <f t="shared" ca="1" si="6"/>
        <v>17</v>
      </c>
      <c r="E38" s="3" t="str">
        <f t="shared" ca="1" si="2"/>
        <v>ガイアナ</v>
      </c>
      <c r="F38" s="3" t="str">
        <f t="shared" ca="1" si="3"/>
        <v>countries_img/GY.gif</v>
      </c>
      <c r="G38" s="3"/>
      <c r="H38" s="3"/>
      <c r="I38" s="3"/>
      <c r="J38" s="3"/>
      <c r="K38" s="3"/>
      <c r="M38" s="3">
        <f t="shared" ca="1" si="4"/>
        <v>0.7767366241890209</v>
      </c>
      <c r="N38" s="3" t="e">
        <f ca="1">IMAGE("https://www.asahi-net.or.jp/~yq3t-hruc/img/DK.gif")</f>
        <v>#NAME?</v>
      </c>
      <c r="O38" s="2">
        <v>38</v>
      </c>
      <c r="P38" s="2" t="s">
        <v>37</v>
      </c>
      <c r="Q38" s="4" t="str">
        <f t="shared" ca="1" si="7"/>
        <v>=IMAGE("https://www.asahi-net.or.jp/~yq3t-hruc/img/DK.gif")</v>
      </c>
      <c r="R38" s="5" t="str">
        <f t="shared" ca="1" si="5"/>
        <v>https://www.asahi-net.or.jp/~yq3t-hruc/img/DK.gif</v>
      </c>
      <c r="S38" s="4" t="s">
        <v>111</v>
      </c>
    </row>
    <row r="39" spans="1:19" ht="40" customHeight="1" x14ac:dyDescent="0.25">
      <c r="A39" s="2">
        <v>39</v>
      </c>
      <c r="B39" s="2" t="s">
        <v>38</v>
      </c>
      <c r="C39" s="3"/>
      <c r="D39" s="3">
        <f t="shared" ca="1" si="6"/>
        <v>16</v>
      </c>
      <c r="E39" s="3" t="str">
        <f t="shared" ca="1" si="2"/>
        <v>オランダ</v>
      </c>
      <c r="F39" s="3" t="str">
        <f t="shared" ca="1" si="3"/>
        <v>countries_img/NL.gif</v>
      </c>
      <c r="G39" s="3"/>
      <c r="H39" s="3"/>
      <c r="I39" s="3"/>
      <c r="J39" s="3"/>
      <c r="K39" s="3"/>
      <c r="M39" s="3">
        <f t="shared" ca="1" si="4"/>
        <v>0.79164506798262002</v>
      </c>
      <c r="N39" s="3" t="e">
        <f ca="1">IMAGE("https://www.asahi-net.or.jp/~yq3t-hruc/img/DE.gif")</f>
        <v>#NAME?</v>
      </c>
      <c r="O39" s="2">
        <v>39</v>
      </c>
      <c r="P39" s="2" t="s">
        <v>38</v>
      </c>
      <c r="Q39" s="4" t="str">
        <f t="shared" ca="1" si="7"/>
        <v>=IMAGE("https://www.asahi-net.or.jp/~yq3t-hruc/img/DE.gif")</v>
      </c>
      <c r="R39" s="5" t="str">
        <f t="shared" ca="1" si="5"/>
        <v>https://www.asahi-net.or.jp/~yq3t-hruc/img/DE.gif</v>
      </c>
      <c r="S39" s="4" t="s">
        <v>112</v>
      </c>
    </row>
    <row r="40" spans="1:19" ht="40" customHeight="1" x14ac:dyDescent="0.25">
      <c r="A40" s="2">
        <v>40</v>
      </c>
      <c r="B40" s="2" t="s">
        <v>39</v>
      </c>
      <c r="C40" s="3"/>
      <c r="D40" s="3">
        <f t="shared" ca="1" si="6"/>
        <v>35</v>
      </c>
      <c r="E40" s="3" t="str">
        <f t="shared" ca="1" si="2"/>
        <v>チェコ</v>
      </c>
      <c r="F40" s="3" t="str">
        <f t="shared" ca="1" si="3"/>
        <v>countries_img/CZ.gif</v>
      </c>
      <c r="G40" s="3"/>
      <c r="H40" s="3"/>
      <c r="I40" s="3"/>
      <c r="J40" s="3"/>
      <c r="K40" s="3"/>
      <c r="M40" s="3">
        <f t="shared" ca="1" si="4"/>
        <v>0.56371710435588263</v>
      </c>
      <c r="N40" s="3" t="e">
        <f ca="1">IMAGE("https://www.asahi-net.or.jp/~yq3t-hruc/img/TR.gif")</f>
        <v>#NAME?</v>
      </c>
      <c r="O40" s="2">
        <v>40</v>
      </c>
      <c r="P40" s="2" t="s">
        <v>39</v>
      </c>
      <c r="Q40" s="4" t="str">
        <f t="shared" ca="1" si="7"/>
        <v>=IMAGE("https://www.asahi-net.or.jp/~yq3t-hruc/img/TR.gif")</v>
      </c>
      <c r="R40" s="5" t="str">
        <f t="shared" ca="1" si="5"/>
        <v>https://www.asahi-net.or.jp/~yq3t-hruc/img/TR.gif</v>
      </c>
      <c r="S40" s="4" t="s">
        <v>113</v>
      </c>
    </row>
    <row r="41" spans="1:19" ht="40" customHeight="1" x14ac:dyDescent="0.25">
      <c r="A41" s="2">
        <v>41</v>
      </c>
      <c r="B41" s="2" t="s">
        <v>40</v>
      </c>
      <c r="C41" s="3"/>
      <c r="D41" s="3">
        <f t="shared" ca="1" si="6"/>
        <v>24</v>
      </c>
      <c r="E41" s="3" t="str">
        <f t="shared" ca="1" si="2"/>
        <v>コロンビア</v>
      </c>
      <c r="F41" s="3" t="str">
        <f t="shared" ca="1" si="3"/>
        <v>countries_img/CO.gif</v>
      </c>
      <c r="G41" s="3"/>
      <c r="H41" s="3"/>
      <c r="I41" s="3"/>
      <c r="J41" s="3"/>
      <c r="K41" s="3"/>
      <c r="M41" s="3">
        <f t="shared" ca="1" si="4"/>
        <v>0.69880327170727807</v>
      </c>
      <c r="N41" s="3" t="e">
        <f ca="1">IMAGE("https://www.asahi-net.or.jp/~yq3t-hruc/img/JP.gif")</f>
        <v>#NAME?</v>
      </c>
      <c r="O41" s="2">
        <v>41</v>
      </c>
      <c r="P41" s="2" t="s">
        <v>40</v>
      </c>
      <c r="Q41" s="4" t="str">
        <f t="shared" ca="1" si="7"/>
        <v>=IMAGE("https://www.asahi-net.or.jp/~yq3t-hruc/img/JP.gif")</v>
      </c>
      <c r="R41" s="5" t="str">
        <f t="shared" ca="1" si="5"/>
        <v>https://www.asahi-net.or.jp/~yq3t-hruc/img/JP.gif</v>
      </c>
      <c r="S41" s="4" t="s">
        <v>114</v>
      </c>
    </row>
    <row r="42" spans="1:19" ht="40" customHeight="1" x14ac:dyDescent="0.25">
      <c r="A42" s="2">
        <v>42</v>
      </c>
      <c r="B42" s="2" t="s">
        <v>41</v>
      </c>
      <c r="C42" s="3"/>
      <c r="D42" s="3">
        <f t="shared" ca="1" si="6"/>
        <v>50</v>
      </c>
      <c r="E42" s="3" t="str">
        <f t="shared" ca="1" si="2"/>
        <v>フランス</v>
      </c>
      <c r="F42" s="3" t="str">
        <f t="shared" ca="1" si="3"/>
        <v>countries_img/FR.gif</v>
      </c>
      <c r="G42" s="3"/>
      <c r="H42" s="3"/>
      <c r="I42" s="3"/>
      <c r="J42" s="3"/>
      <c r="K42" s="3"/>
      <c r="M42" s="3">
        <f t="shared" ca="1" si="4"/>
        <v>0.36471352699433279</v>
      </c>
      <c r="N42" s="3" t="e">
        <f ca="1">IMAGE("https://www.asahi-net.or.jp/~yq3t-hruc/img/NZ.gif")</f>
        <v>#NAME?</v>
      </c>
      <c r="O42" s="2">
        <v>42</v>
      </c>
      <c r="P42" s="2" t="s">
        <v>41</v>
      </c>
      <c r="Q42" s="4" t="str">
        <f t="shared" ca="1" si="7"/>
        <v>=IMAGE("https://www.asahi-net.or.jp/~yq3t-hruc/img/NZ.gif")</v>
      </c>
      <c r="R42" s="5" t="str">
        <f t="shared" ca="1" si="5"/>
        <v>https://www.asahi-net.or.jp/~yq3t-hruc/img/NZ.gif</v>
      </c>
      <c r="S42" s="4" t="s">
        <v>115</v>
      </c>
    </row>
    <row r="43" spans="1:19" ht="40" customHeight="1" x14ac:dyDescent="0.25">
      <c r="A43" s="2">
        <v>43</v>
      </c>
      <c r="B43" s="2" t="s">
        <v>42</v>
      </c>
      <c r="C43" s="3"/>
      <c r="D43" s="3">
        <f t="shared" ca="1" si="6"/>
        <v>5</v>
      </c>
      <c r="E43" s="3" t="str">
        <f t="shared" ca="1" si="2"/>
        <v>アルゼンチン</v>
      </c>
      <c r="F43" s="3" t="str">
        <f t="shared" ca="1" si="3"/>
        <v>countries_img/AR.gif</v>
      </c>
      <c r="G43" s="3"/>
      <c r="H43" s="3"/>
      <c r="I43" s="3"/>
      <c r="J43" s="3"/>
      <c r="K43" s="3"/>
      <c r="M43" s="3">
        <f t="shared" ca="1" si="4"/>
        <v>0.95696470318178306</v>
      </c>
      <c r="N43" s="3" t="e">
        <f ca="1">IMAGE("https://www.asahi-net.or.jp/~yq3t-hruc/img/VA.gif")</f>
        <v>#NAME?</v>
      </c>
      <c r="O43" s="2">
        <v>43</v>
      </c>
      <c r="P43" s="2" t="s">
        <v>42</v>
      </c>
      <c r="Q43" s="4" t="str">
        <f t="shared" ca="1" si="7"/>
        <v>=IMAGE("https://www.asahi-net.or.jp/~yq3t-hruc/img/VA.gif")</v>
      </c>
      <c r="R43" s="5" t="str">
        <f t="shared" ca="1" si="5"/>
        <v>https://www.asahi-net.or.jp/~yq3t-hruc/img/VA.gif</v>
      </c>
      <c r="S43" s="4" t="s">
        <v>116</v>
      </c>
    </row>
    <row r="44" spans="1:19" ht="40" customHeight="1" x14ac:dyDescent="0.25">
      <c r="A44" s="2">
        <v>44</v>
      </c>
      <c r="B44" s="2" t="s">
        <v>43</v>
      </c>
      <c r="C44" s="3"/>
      <c r="D44" s="3">
        <f t="shared" ca="1" si="6"/>
        <v>56</v>
      </c>
      <c r="E44" s="3" t="str">
        <f t="shared" ca="1" si="2"/>
        <v>ペルー</v>
      </c>
      <c r="F44" s="3" t="str">
        <f t="shared" ca="1" si="3"/>
        <v>countries_img/PE.gif</v>
      </c>
      <c r="G44" s="3"/>
      <c r="H44" s="3"/>
      <c r="I44" s="3"/>
      <c r="J44" s="3"/>
      <c r="K44" s="3"/>
      <c r="M44" s="3">
        <f t="shared" ca="1" si="4"/>
        <v>0.27365258767583944</v>
      </c>
      <c r="N44" s="3" t="e">
        <f ca="1">IMAGE("https://www.asahi-net.or.jp/~yq3t-hruc/img/PY.gif")</f>
        <v>#NAME?</v>
      </c>
      <c r="O44" s="2">
        <v>44</v>
      </c>
      <c r="P44" s="2" t="s">
        <v>43</v>
      </c>
      <c r="Q44" s="4" t="str">
        <f t="shared" ca="1" si="7"/>
        <v>=IMAGE("https://www.asahi-net.or.jp/~yq3t-hruc/img/PY.gif")</v>
      </c>
      <c r="R44" s="5" t="str">
        <f t="shared" ca="1" si="5"/>
        <v>https://www.asahi-net.or.jp/~yq3t-hruc/img/PY.gif</v>
      </c>
      <c r="S44" s="4" t="s">
        <v>117</v>
      </c>
    </row>
    <row r="45" spans="1:19" ht="40" customHeight="1" x14ac:dyDescent="0.25">
      <c r="A45" s="6">
        <v>45</v>
      </c>
      <c r="B45" s="2" t="s">
        <v>44</v>
      </c>
      <c r="C45" s="3"/>
      <c r="D45" s="3">
        <f t="shared" ca="1" si="6"/>
        <v>52</v>
      </c>
      <c r="E45" s="3" t="str">
        <f t="shared" ca="1" si="2"/>
        <v>ブルネイ</v>
      </c>
      <c r="F45" s="3" t="str">
        <f t="shared" ca="1" si="3"/>
        <v>countries_img/BN.gif</v>
      </c>
      <c r="G45" s="3"/>
      <c r="H45" s="3"/>
      <c r="I45" s="3"/>
      <c r="J45" s="3"/>
      <c r="K45" s="3"/>
      <c r="M45" s="3">
        <f t="shared" ca="1" si="4"/>
        <v>0.31919073956786015</v>
      </c>
      <c r="N45" s="3" t="e">
        <f ca="1">IMAGE("https://www.asahi-net.or.jp/~yq3t-hruc/img/HU.gif")</f>
        <v>#NAME?</v>
      </c>
      <c r="O45" s="6">
        <v>45</v>
      </c>
      <c r="P45" s="2" t="s">
        <v>44</v>
      </c>
      <c r="Q45" s="4" t="str">
        <f t="shared" ca="1" si="7"/>
        <v>=IMAGE("https://www.asahi-net.or.jp/~yq3t-hruc/img/HU.gif")</v>
      </c>
      <c r="R45" s="5" t="str">
        <f t="shared" ca="1" si="5"/>
        <v>https://www.asahi-net.or.jp/~yq3t-hruc/img/HU.gif</v>
      </c>
      <c r="S45" s="4" t="s">
        <v>118</v>
      </c>
    </row>
    <row r="46" spans="1:19" ht="40" customHeight="1" x14ac:dyDescent="0.25">
      <c r="A46" s="2">
        <v>46</v>
      </c>
      <c r="B46" s="2" t="s">
        <v>45</v>
      </c>
      <c r="C46" s="3"/>
      <c r="D46" s="3">
        <f t="shared" ca="1" si="6"/>
        <v>7</v>
      </c>
      <c r="E46" s="3" t="str">
        <f t="shared" ca="1" si="2"/>
        <v>イスラエル</v>
      </c>
      <c r="F46" s="3" t="str">
        <f t="shared" ca="1" si="3"/>
        <v>countries_img/IL.gif</v>
      </c>
      <c r="G46" s="3"/>
      <c r="H46" s="3"/>
      <c r="I46" s="3"/>
      <c r="J46" s="3"/>
      <c r="K46" s="3"/>
      <c r="M46" s="3">
        <f t="shared" ca="1" si="4"/>
        <v>0.92938154211372337</v>
      </c>
      <c r="N46" s="3" t="e">
        <f ca="1">IMAGE("https://www.asahi-net.or.jp/~yq3t-hruc/img/FJ.gif")</f>
        <v>#NAME?</v>
      </c>
      <c r="O46" s="2">
        <v>46</v>
      </c>
      <c r="P46" s="2" t="s">
        <v>45</v>
      </c>
      <c r="Q46" s="4" t="str">
        <f t="shared" ca="1" si="7"/>
        <v>=IMAGE("https://www.asahi-net.or.jp/~yq3t-hruc/img/FJ.gif")</v>
      </c>
      <c r="R46" s="5" t="str">
        <f t="shared" ca="1" si="5"/>
        <v>https://www.asahi-net.or.jp/~yq3t-hruc/img/FJ.gif</v>
      </c>
      <c r="S46" s="4" t="s">
        <v>119</v>
      </c>
    </row>
    <row r="47" spans="1:19" ht="40" customHeight="1" x14ac:dyDescent="0.25">
      <c r="A47" s="2">
        <v>47</v>
      </c>
      <c r="B47" s="2" t="s">
        <v>46</v>
      </c>
      <c r="C47" s="3"/>
      <c r="D47" s="3">
        <f t="shared" ca="1" si="6"/>
        <v>55</v>
      </c>
      <c r="E47" s="3" t="str">
        <f t="shared" ca="1" si="2"/>
        <v>ベネズエラ</v>
      </c>
      <c r="F47" s="3" t="str">
        <f t="shared" ca="1" si="3"/>
        <v>countries_img/VE.gif</v>
      </c>
      <c r="G47" s="3"/>
      <c r="H47" s="3"/>
      <c r="I47" s="3"/>
      <c r="J47" s="3"/>
      <c r="K47" s="3"/>
      <c r="M47" s="3">
        <f t="shared" ca="1" si="4"/>
        <v>0.28833585170033882</v>
      </c>
      <c r="N47" s="3" t="e">
        <f ca="1">IMAGE("https://www.asahi-net.or.jp/~yq3t-hruc/img/PH.gif")</f>
        <v>#NAME?</v>
      </c>
      <c r="O47" s="2">
        <v>47</v>
      </c>
      <c r="P47" s="2" t="s">
        <v>46</v>
      </c>
      <c r="Q47" s="4" t="str">
        <f t="shared" ca="1" si="7"/>
        <v>=IMAGE("https://www.asahi-net.or.jp/~yq3t-hruc/img/PH.gif")</v>
      </c>
      <c r="R47" s="5" t="str">
        <f t="shared" ca="1" si="5"/>
        <v>https://www.asahi-net.or.jp/~yq3t-hruc/img/PH.gif</v>
      </c>
      <c r="S47" s="4" t="s">
        <v>120</v>
      </c>
    </row>
    <row r="48" spans="1:19" ht="40" customHeight="1" x14ac:dyDescent="0.25">
      <c r="A48" s="2">
        <v>48</v>
      </c>
      <c r="B48" s="2" t="s">
        <v>47</v>
      </c>
      <c r="C48" s="3"/>
      <c r="D48" s="3">
        <f t="shared" ca="1" si="6"/>
        <v>40</v>
      </c>
      <c r="E48" s="3" t="str">
        <f t="shared" ca="1" si="2"/>
        <v>トルコ</v>
      </c>
      <c r="F48" s="3" t="str">
        <f t="shared" ca="1" si="3"/>
        <v>countries_img/TR.gif</v>
      </c>
      <c r="G48" s="3"/>
      <c r="H48" s="3"/>
      <c r="I48" s="3"/>
      <c r="J48" s="3"/>
      <c r="K48" s="3"/>
      <c r="M48" s="3">
        <f t="shared" ca="1" si="4"/>
        <v>0.55147661301831263</v>
      </c>
      <c r="N48" s="3" t="e">
        <f ca="1">IMAGE("https://www.asahi-net.or.jp/~yq3t-hruc/img/FI.gif")</f>
        <v>#NAME?</v>
      </c>
      <c r="O48" s="2">
        <v>48</v>
      </c>
      <c r="P48" s="2" t="s">
        <v>47</v>
      </c>
      <c r="Q48" s="4" t="str">
        <f t="shared" ca="1" si="7"/>
        <v>=IMAGE("https://www.asahi-net.or.jp/~yq3t-hruc/img/FI.gif")</v>
      </c>
      <c r="R48" s="5" t="str">
        <f t="shared" ca="1" si="5"/>
        <v>https://www.asahi-net.or.jp/~yq3t-hruc/img/FI.gif</v>
      </c>
      <c r="S48" s="4" t="s">
        <v>121</v>
      </c>
    </row>
    <row r="49" spans="1:19" ht="40" customHeight="1" x14ac:dyDescent="0.25">
      <c r="A49" s="2">
        <v>49</v>
      </c>
      <c r="B49" s="2" t="s">
        <v>48</v>
      </c>
      <c r="C49" s="3"/>
      <c r="D49" s="3">
        <f t="shared" ca="1" si="6"/>
        <v>11</v>
      </c>
      <c r="E49" s="3" t="str">
        <f t="shared" ca="1" si="2"/>
        <v>ウルグアイ</v>
      </c>
      <c r="F49" s="3" t="str">
        <f t="shared" ca="1" si="3"/>
        <v>countries_img/UY.gif</v>
      </c>
      <c r="G49" s="3"/>
      <c r="H49" s="3"/>
      <c r="I49" s="3"/>
      <c r="J49" s="3"/>
      <c r="K49" s="3"/>
      <c r="M49" s="3">
        <f t="shared" ca="1" si="4"/>
        <v>0.83836066949166388</v>
      </c>
      <c r="N49" s="3" t="e">
        <f ca="1">IMAGE("https://www.asahi-net.or.jp/~yq3t-hruc/img/BR.gif")</f>
        <v>#NAME?</v>
      </c>
      <c r="O49" s="2">
        <v>49</v>
      </c>
      <c r="P49" s="2" t="s">
        <v>48</v>
      </c>
      <c r="Q49" s="4" t="str">
        <f t="shared" ca="1" si="7"/>
        <v>=IMAGE("https://www.asahi-net.or.jp/~yq3t-hruc/img/BR.gif")</v>
      </c>
      <c r="R49" s="5" t="str">
        <f t="shared" ca="1" si="5"/>
        <v>https://www.asahi-net.or.jp/~yq3t-hruc/img/BR.gif</v>
      </c>
      <c r="S49" s="4" t="s">
        <v>122</v>
      </c>
    </row>
    <row r="50" spans="1:19" ht="40" customHeight="1" x14ac:dyDescent="0.25">
      <c r="A50" s="2">
        <v>50</v>
      </c>
      <c r="B50" s="2" t="s">
        <v>49</v>
      </c>
      <c r="C50" s="3"/>
      <c r="D50" s="3">
        <f t="shared" ca="1" si="6"/>
        <v>15</v>
      </c>
      <c r="E50" s="3" t="str">
        <f t="shared" ca="1" si="2"/>
        <v>オーストリア</v>
      </c>
      <c r="F50" s="3" t="str">
        <f t="shared" ca="1" si="3"/>
        <v>countries_img/AT.gif</v>
      </c>
      <c r="G50" s="3"/>
      <c r="H50" s="3"/>
      <c r="I50" s="3"/>
      <c r="J50" s="3"/>
      <c r="K50" s="3"/>
      <c r="M50" s="3">
        <f t="shared" ca="1" si="4"/>
        <v>0.79833822291968826</v>
      </c>
      <c r="N50" s="3" t="e">
        <f ca="1">IMAGE("https://www.asahi-net.or.jp/~yq3t-hruc/img/FR.gif")</f>
        <v>#NAME?</v>
      </c>
      <c r="O50" s="2">
        <v>50</v>
      </c>
      <c r="P50" s="2" t="s">
        <v>49</v>
      </c>
      <c r="Q50" s="4" t="str">
        <f t="shared" ca="1" si="7"/>
        <v>=IMAGE("https://www.asahi-net.or.jp/~yq3t-hruc/img/FR.gif")</v>
      </c>
      <c r="R50" s="5" t="str">
        <f t="shared" ca="1" si="5"/>
        <v>https://www.asahi-net.or.jp/~yq3t-hruc/img/FR.gif</v>
      </c>
      <c r="S50" s="4" t="s">
        <v>123</v>
      </c>
    </row>
    <row r="51" spans="1:19" ht="40" customHeight="1" x14ac:dyDescent="0.25">
      <c r="A51" s="2">
        <v>51</v>
      </c>
      <c r="B51" s="2" t="s">
        <v>50</v>
      </c>
      <c r="C51" s="3"/>
      <c r="D51" s="3">
        <f t="shared" ca="1" si="6"/>
        <v>54</v>
      </c>
      <c r="E51" s="3" t="str">
        <f t="shared" ca="1" si="2"/>
        <v>ベナン</v>
      </c>
      <c r="F51" s="3" t="str">
        <f t="shared" ca="1" si="3"/>
        <v>countries_img/BJ.gif</v>
      </c>
      <c r="G51" s="3"/>
      <c r="H51" s="3"/>
      <c r="I51" s="3"/>
      <c r="J51" s="3"/>
      <c r="K51" s="3"/>
      <c r="M51" s="3">
        <f t="shared" ca="1" si="4"/>
        <v>0.30187111617347007</v>
      </c>
      <c r="N51" s="3" t="e">
        <f ca="1">IMAGE("https://www.asahi-net.or.jp/~yq3t-hruc/img/BG.gif")</f>
        <v>#NAME?</v>
      </c>
      <c r="O51" s="2">
        <v>51</v>
      </c>
      <c r="P51" s="2" t="s">
        <v>50</v>
      </c>
      <c r="Q51" s="4" t="str">
        <f t="shared" ca="1" si="7"/>
        <v>=IMAGE("https://www.asahi-net.or.jp/~yq3t-hruc/img/BG.gif")</v>
      </c>
      <c r="R51" s="5" t="str">
        <f t="shared" ca="1" si="5"/>
        <v>https://www.asahi-net.or.jp/~yq3t-hruc/img/BG.gif</v>
      </c>
      <c r="S51" s="4" t="s">
        <v>124</v>
      </c>
    </row>
    <row r="52" spans="1:19" ht="40" customHeight="1" x14ac:dyDescent="0.25">
      <c r="A52" s="2">
        <v>52</v>
      </c>
      <c r="B52" s="2" t="s">
        <v>51</v>
      </c>
      <c r="C52" s="3"/>
      <c r="D52" s="3">
        <f t="shared" ca="1" si="6"/>
        <v>14</v>
      </c>
      <c r="E52" s="3" t="str">
        <f t="shared" ca="1" si="2"/>
        <v>オーストラリア</v>
      </c>
      <c r="F52" s="3" t="str">
        <f t="shared" ca="1" si="3"/>
        <v>countries_img/AU.gif</v>
      </c>
      <c r="G52" s="3"/>
      <c r="H52" s="3"/>
      <c r="I52" s="3"/>
      <c r="J52" s="3"/>
      <c r="K52" s="3"/>
      <c r="M52" s="3">
        <f t="shared" ca="1" si="4"/>
        <v>0.80714712801079391</v>
      </c>
      <c r="N52" s="3" t="e">
        <f ca="1">IMAGE("https://www.asahi-net.or.jp/~yq3t-hruc/img/BN.gif")</f>
        <v>#NAME?</v>
      </c>
      <c r="O52" s="2">
        <v>52</v>
      </c>
      <c r="P52" s="2" t="s">
        <v>51</v>
      </c>
      <c r="Q52" s="4" t="str">
        <f t="shared" ca="1" si="7"/>
        <v>=IMAGE("https://www.asahi-net.or.jp/~yq3t-hruc/img/BN.gif")</v>
      </c>
      <c r="R52" s="5" t="str">
        <f t="shared" ca="1" si="5"/>
        <v>https://www.asahi-net.or.jp/~yq3t-hruc/img/BN.gif</v>
      </c>
      <c r="S52" s="4" t="s">
        <v>125</v>
      </c>
    </row>
    <row r="53" spans="1:19" ht="40" customHeight="1" x14ac:dyDescent="0.25">
      <c r="A53" s="2">
        <v>53</v>
      </c>
      <c r="B53" s="2" t="s">
        <v>52</v>
      </c>
      <c r="C53" s="3"/>
      <c r="D53" s="3">
        <f t="shared" ca="1" si="6"/>
        <v>41</v>
      </c>
      <c r="E53" s="3" t="str">
        <f t="shared" ca="1" si="2"/>
        <v>日本</v>
      </c>
      <c r="F53" s="3" t="str">
        <f t="shared" ca="1" si="3"/>
        <v>countries_img/JP.gif</v>
      </c>
      <c r="G53" s="3"/>
      <c r="H53" s="3"/>
      <c r="I53" s="3"/>
      <c r="J53" s="3"/>
      <c r="K53" s="3"/>
      <c r="M53" s="3">
        <f t="shared" ca="1" si="4"/>
        <v>0.53994038715061421</v>
      </c>
      <c r="N53" s="3" t="e">
        <f ca="1">IMAGE("https://www.asahi-net.or.jp/~yq3t-hruc/img/VN.gif")</f>
        <v>#NAME?</v>
      </c>
      <c r="O53" s="2">
        <v>53</v>
      </c>
      <c r="P53" s="2" t="s">
        <v>52</v>
      </c>
      <c r="Q53" s="4" t="str">
        <f t="shared" ca="1" si="7"/>
        <v>=IMAGE("https://www.asahi-net.or.jp/~yq3t-hruc/img/VN.gif")</v>
      </c>
      <c r="R53" s="5" t="str">
        <f t="shared" ca="1" si="5"/>
        <v>https://www.asahi-net.or.jp/~yq3t-hruc/img/VN.gif</v>
      </c>
      <c r="S53" s="4" t="s">
        <v>126</v>
      </c>
    </row>
    <row r="54" spans="1:19" ht="40" customHeight="1" x14ac:dyDescent="0.25">
      <c r="A54" s="2">
        <v>54</v>
      </c>
      <c r="B54" s="2" t="s">
        <v>53</v>
      </c>
      <c r="C54" s="3"/>
      <c r="D54" s="3">
        <f t="shared" ca="1" si="6"/>
        <v>75</v>
      </c>
      <c r="E54" s="3" t="str">
        <f t="shared" ca="1" si="2"/>
        <v>ロシア</v>
      </c>
      <c r="F54" s="3" t="str">
        <f t="shared" ca="1" si="3"/>
        <v>countries_img/RU.gif</v>
      </c>
      <c r="G54" s="3"/>
      <c r="H54" s="3"/>
      <c r="I54" s="3"/>
      <c r="J54" s="3"/>
      <c r="K54" s="3"/>
      <c r="M54" s="3">
        <f t="shared" ca="1" si="4"/>
        <v>2.614739130266297E-2</v>
      </c>
      <c r="N54" s="3" t="e">
        <f ca="1">IMAGE("https://www.asahi-net.or.jp/~yq3t-hruc/img/BJ.gif")</f>
        <v>#NAME?</v>
      </c>
      <c r="O54" s="2">
        <v>54</v>
      </c>
      <c r="P54" s="2" t="s">
        <v>53</v>
      </c>
      <c r="Q54" s="4" t="str">
        <f t="shared" ca="1" si="7"/>
        <v>=IMAGE("https://www.asahi-net.or.jp/~yq3t-hruc/img/BJ.gif")</v>
      </c>
      <c r="R54" s="5" t="str">
        <f t="shared" ca="1" si="5"/>
        <v>https://www.asahi-net.or.jp/~yq3t-hruc/img/BJ.gif</v>
      </c>
      <c r="S54" s="4" t="s">
        <v>127</v>
      </c>
    </row>
    <row r="55" spans="1:19" ht="40" customHeight="1" x14ac:dyDescent="0.25">
      <c r="A55" s="2">
        <v>55</v>
      </c>
      <c r="B55" s="2" t="s">
        <v>54</v>
      </c>
      <c r="C55" s="3"/>
      <c r="D55" s="3">
        <f t="shared" ca="1" si="6"/>
        <v>18</v>
      </c>
      <c r="E55" s="3" t="str">
        <f t="shared" ca="1" si="2"/>
        <v>カナダ</v>
      </c>
      <c r="F55" s="3" t="str">
        <f t="shared" ca="1" si="3"/>
        <v>countries_img/CA.gif</v>
      </c>
      <c r="G55" s="3"/>
      <c r="H55" s="3"/>
      <c r="I55" s="3"/>
      <c r="J55" s="3"/>
      <c r="K55" s="3"/>
      <c r="M55" s="3">
        <f t="shared" ca="1" si="4"/>
        <v>0.76329125985619906</v>
      </c>
      <c r="N55" s="3" t="e">
        <f ca="1">IMAGE("https://www.asahi-net.or.jp/~yq3t-hruc/img/VE.gif")</f>
        <v>#NAME?</v>
      </c>
      <c r="O55" s="2">
        <v>55</v>
      </c>
      <c r="P55" s="2" t="s">
        <v>54</v>
      </c>
      <c r="Q55" s="4" t="str">
        <f t="shared" ca="1" si="7"/>
        <v>=IMAGE("https://www.asahi-net.or.jp/~yq3t-hruc/img/VE.gif")</v>
      </c>
      <c r="R55" s="5" t="str">
        <f t="shared" ca="1" si="5"/>
        <v>https://www.asahi-net.or.jp/~yq3t-hruc/img/VE.gif</v>
      </c>
      <c r="S55" s="4" t="s">
        <v>128</v>
      </c>
    </row>
    <row r="56" spans="1:19" ht="40" customHeight="1" x14ac:dyDescent="0.25">
      <c r="A56" s="2">
        <v>56</v>
      </c>
      <c r="B56" s="2" t="s">
        <v>55</v>
      </c>
      <c r="C56" s="3"/>
      <c r="D56" s="3">
        <f t="shared" ca="1" si="6"/>
        <v>33</v>
      </c>
      <c r="E56" s="3" t="str">
        <f t="shared" ca="1" si="2"/>
        <v>スロベニア</v>
      </c>
      <c r="F56" s="3" t="str">
        <f t="shared" ca="1" si="3"/>
        <v>countries_img/SI.gif</v>
      </c>
      <c r="G56" s="3"/>
      <c r="H56" s="3"/>
      <c r="I56" s="3"/>
      <c r="J56" s="3"/>
      <c r="K56" s="3"/>
      <c r="M56" s="3">
        <f t="shared" ca="1" si="4"/>
        <v>0.57158103238399272</v>
      </c>
      <c r="N56" s="3" t="e">
        <f ca="1">IMAGE("https://www.asahi-net.or.jp/~yq3t-hruc/img/PE.gif")</f>
        <v>#NAME?</v>
      </c>
      <c r="O56" s="2">
        <v>56</v>
      </c>
      <c r="P56" s="2" t="s">
        <v>55</v>
      </c>
      <c r="Q56" s="4" t="str">
        <f t="shared" ca="1" si="7"/>
        <v>=IMAGE("https://www.asahi-net.or.jp/~yq3t-hruc/img/PE.gif")</v>
      </c>
      <c r="R56" s="5" t="str">
        <f t="shared" ca="1" si="5"/>
        <v>https://www.asahi-net.or.jp/~yq3t-hruc/img/PE.gif</v>
      </c>
      <c r="S56" s="4" t="s">
        <v>129</v>
      </c>
    </row>
    <row r="57" spans="1:19" ht="40" customHeight="1" x14ac:dyDescent="0.25">
      <c r="A57" s="2">
        <v>57</v>
      </c>
      <c r="B57" s="2" t="s">
        <v>56</v>
      </c>
      <c r="C57" s="3"/>
      <c r="D57" s="3">
        <f t="shared" ca="1" si="6"/>
        <v>19</v>
      </c>
      <c r="E57" s="3" t="str">
        <f t="shared" ca="1" si="2"/>
        <v>韓国</v>
      </c>
      <c r="F57" s="3" t="str">
        <f t="shared" ca="1" si="3"/>
        <v>countries_img/KR.gif</v>
      </c>
      <c r="G57" s="3"/>
      <c r="H57" s="3"/>
      <c r="I57" s="3"/>
      <c r="J57" s="3"/>
      <c r="K57" s="3"/>
      <c r="M57" s="3">
        <f t="shared" ca="1" si="4"/>
        <v>0.75609028118173394</v>
      </c>
      <c r="N57" s="3" t="e">
        <f ca="1">IMAGE("https://www.asahi-net.or.jp/~yq3t-hruc/img/BE.gif")</f>
        <v>#NAME?</v>
      </c>
      <c r="O57" s="2">
        <v>57</v>
      </c>
      <c r="P57" s="2" t="s">
        <v>56</v>
      </c>
      <c r="Q57" s="4" t="str">
        <f t="shared" ca="1" si="7"/>
        <v>=IMAGE("https://www.asahi-net.or.jp/~yq3t-hruc/img/BE.gif")</v>
      </c>
      <c r="R57" s="5" t="str">
        <f t="shared" ca="1" si="5"/>
        <v>https://www.asahi-net.or.jp/~yq3t-hruc/img/BE.gif</v>
      </c>
      <c r="S57" s="4" t="s">
        <v>130</v>
      </c>
    </row>
    <row r="58" spans="1:19" ht="40" customHeight="1" x14ac:dyDescent="0.25">
      <c r="A58" s="2">
        <v>58</v>
      </c>
      <c r="B58" s="2" t="s">
        <v>57</v>
      </c>
      <c r="C58" s="3"/>
      <c r="D58" s="3">
        <f t="shared" ca="1" si="6"/>
        <v>6</v>
      </c>
      <c r="E58" s="3" t="str">
        <f t="shared" ca="1" si="2"/>
        <v>イギリス</v>
      </c>
      <c r="F58" s="3" t="str">
        <f t="shared" ca="1" si="3"/>
        <v>countries_img/GB.gif</v>
      </c>
      <c r="G58" s="3"/>
      <c r="H58" s="3"/>
      <c r="I58" s="3"/>
      <c r="J58" s="3"/>
      <c r="K58" s="3"/>
      <c r="M58" s="3">
        <f t="shared" ca="1" si="4"/>
        <v>0.93201088211697081</v>
      </c>
      <c r="N58" s="3" t="e">
        <f ca="1">IMAGE("https://www.asahi-net.or.jp/~yq3t-hruc/img/PL.gif")</f>
        <v>#NAME?</v>
      </c>
      <c r="O58" s="2">
        <v>58</v>
      </c>
      <c r="P58" s="2" t="s">
        <v>57</v>
      </c>
      <c r="Q58" s="4" t="str">
        <f t="shared" ca="1" si="7"/>
        <v>=IMAGE("https://www.asahi-net.or.jp/~yq3t-hruc/img/PL.gif")</v>
      </c>
      <c r="R58" s="5" t="str">
        <f t="shared" ca="1" si="5"/>
        <v>https://www.asahi-net.or.jp/~yq3t-hruc/img/PL.gif</v>
      </c>
      <c r="S58" s="4" t="s">
        <v>131</v>
      </c>
    </row>
    <row r="59" spans="1:19" ht="40" customHeight="1" x14ac:dyDescent="0.25">
      <c r="A59" s="2">
        <v>59</v>
      </c>
      <c r="B59" s="2" t="s">
        <v>58</v>
      </c>
      <c r="C59" s="3"/>
      <c r="D59" s="3">
        <f t="shared" ca="1" si="6"/>
        <v>44</v>
      </c>
      <c r="E59" s="3" t="str">
        <f t="shared" ca="1" si="2"/>
        <v>パラグアイ</v>
      </c>
      <c r="F59" s="3" t="str">
        <f t="shared" ca="1" si="3"/>
        <v>countries_img/PY.gif</v>
      </c>
      <c r="G59" s="3"/>
      <c r="H59" s="3"/>
      <c r="I59" s="3"/>
      <c r="J59" s="3"/>
      <c r="K59" s="3"/>
      <c r="M59" s="3">
        <f t="shared" ca="1" si="4"/>
        <v>0.45163529212682563</v>
      </c>
      <c r="N59" s="3" t="e">
        <f ca="1">IMAGE("https://www.asahi-net.or.jp/~yq3t-hruc/img/BO.gif")</f>
        <v>#NAME?</v>
      </c>
      <c r="O59" s="2">
        <v>59</v>
      </c>
      <c r="P59" s="2" t="s">
        <v>58</v>
      </c>
      <c r="Q59" s="4" t="str">
        <f t="shared" ca="1" si="7"/>
        <v>=IMAGE("https://www.asahi-net.or.jp/~yq3t-hruc/img/BO.gif")</v>
      </c>
      <c r="R59" s="5" t="str">
        <f t="shared" ca="1" si="5"/>
        <v>https://www.asahi-net.or.jp/~yq3t-hruc/img/BO.gif</v>
      </c>
      <c r="S59" s="4" t="s">
        <v>132</v>
      </c>
    </row>
    <row r="60" spans="1:19" ht="40" customHeight="1" x14ac:dyDescent="0.25">
      <c r="A60" s="6">
        <v>60</v>
      </c>
      <c r="B60" s="2" t="s">
        <v>59</v>
      </c>
      <c r="C60" s="3"/>
      <c r="D60" s="3">
        <f t="shared" ca="1" si="6"/>
        <v>62</v>
      </c>
      <c r="E60" s="3" t="str">
        <f t="shared" ca="1" si="2"/>
        <v>マレーシア</v>
      </c>
      <c r="F60" s="3" t="str">
        <f t="shared" ca="1" si="3"/>
        <v>countries_img/MY.gif</v>
      </c>
      <c r="G60" s="3"/>
      <c r="H60" s="3"/>
      <c r="I60" s="3"/>
      <c r="J60" s="3"/>
      <c r="K60" s="3"/>
      <c r="M60" s="3">
        <f t="shared" ca="1" si="4"/>
        <v>0.18720161305714988</v>
      </c>
      <c r="N60" s="3" t="e">
        <f ca="1">IMAGE("https://www.asahi-net.or.jp/~yq3t-hruc/img/PT.gif")</f>
        <v>#NAME?</v>
      </c>
      <c r="O60" s="6">
        <v>60</v>
      </c>
      <c r="P60" s="2" t="s">
        <v>59</v>
      </c>
      <c r="Q60" s="4" t="str">
        <f t="shared" ca="1" si="7"/>
        <v>=IMAGE("https://www.asahi-net.or.jp/~yq3t-hruc/img/PT.gif")</v>
      </c>
      <c r="R60" s="5" t="str">
        <f t="shared" ca="1" si="5"/>
        <v>https://www.asahi-net.or.jp/~yq3t-hruc/img/PT.gif</v>
      </c>
      <c r="S60" s="4" t="s">
        <v>133</v>
      </c>
    </row>
    <row r="61" spans="1:19" ht="40" customHeight="1" x14ac:dyDescent="0.25">
      <c r="A61" s="2">
        <v>61</v>
      </c>
      <c r="B61" s="2" t="s">
        <v>60</v>
      </c>
      <c r="C61" s="3"/>
      <c r="D61" s="3">
        <f t="shared" ca="1" si="6"/>
        <v>36</v>
      </c>
      <c r="E61" s="3" t="str">
        <f t="shared" ca="1" si="2"/>
        <v>中国</v>
      </c>
      <c r="F61" s="3" t="str">
        <f t="shared" ca="1" si="3"/>
        <v>countries_img/CN.gif</v>
      </c>
      <c r="G61" s="3"/>
      <c r="H61" s="3"/>
      <c r="I61" s="3"/>
      <c r="J61" s="3"/>
      <c r="K61" s="3"/>
      <c r="M61" s="3">
        <f t="shared" ca="1" si="4"/>
        <v>0.56043788451134191</v>
      </c>
      <c r="N61" s="3" t="e">
        <f ca="1">IMAGE("https://www.asahi-net.or.jp/~yq3t-hruc/img/MT.gif")</f>
        <v>#NAME?</v>
      </c>
      <c r="O61" s="2">
        <v>61</v>
      </c>
      <c r="P61" s="2" t="s">
        <v>60</v>
      </c>
      <c r="Q61" s="4" t="str">
        <f t="shared" ca="1" si="7"/>
        <v>=IMAGE("https://www.asahi-net.or.jp/~yq3t-hruc/img/MT.gif")</v>
      </c>
      <c r="R61" s="5" t="str">
        <f t="shared" ca="1" si="5"/>
        <v>https://www.asahi-net.or.jp/~yq3t-hruc/img/MT.gif</v>
      </c>
      <c r="S61" s="4" t="s">
        <v>134</v>
      </c>
    </row>
    <row r="62" spans="1:19" ht="40" customHeight="1" x14ac:dyDescent="0.25">
      <c r="A62" s="2">
        <v>62</v>
      </c>
      <c r="B62" s="2" t="s">
        <v>61</v>
      </c>
      <c r="C62" s="3"/>
      <c r="D62" s="3">
        <f t="shared" ca="1" si="6"/>
        <v>20</v>
      </c>
      <c r="E62" s="3" t="str">
        <f t="shared" ca="1" si="2"/>
        <v>カンボジア</v>
      </c>
      <c r="F62" s="3" t="str">
        <f t="shared" ca="1" si="3"/>
        <v>countries_img/KH.gif</v>
      </c>
      <c r="G62" s="3"/>
      <c r="H62" s="3"/>
      <c r="I62" s="3"/>
      <c r="J62" s="3"/>
      <c r="K62" s="3"/>
      <c r="M62" s="3">
        <f t="shared" ca="1" si="4"/>
        <v>0.73907076685787021</v>
      </c>
      <c r="N62" s="3" t="e">
        <f ca="1">IMAGE("https://www.asahi-net.or.jp/~yq3t-hruc/img/MY.gif")</f>
        <v>#NAME?</v>
      </c>
      <c r="O62" s="2">
        <v>62</v>
      </c>
      <c r="P62" s="2" t="s">
        <v>61</v>
      </c>
      <c r="Q62" s="4" t="str">
        <f t="shared" ca="1" si="7"/>
        <v>=IMAGE("https://www.asahi-net.or.jp/~yq3t-hruc/img/MY.gif")</v>
      </c>
      <c r="R62" s="5" t="str">
        <f t="shared" ca="1" si="5"/>
        <v>https://www.asahi-net.or.jp/~yq3t-hruc/img/MY.gif</v>
      </c>
      <c r="S62" s="4" t="s">
        <v>135</v>
      </c>
    </row>
    <row r="63" spans="1:19" ht="40" customHeight="1" x14ac:dyDescent="0.25">
      <c r="A63" s="2">
        <v>63</v>
      </c>
      <c r="B63" s="2" t="s">
        <v>62</v>
      </c>
      <c r="C63" s="3"/>
      <c r="D63" s="3">
        <f t="shared" ca="1" si="6"/>
        <v>32</v>
      </c>
      <c r="E63" s="3" t="str">
        <f t="shared" ca="1" si="2"/>
        <v>スロバキア</v>
      </c>
      <c r="F63" s="3" t="str">
        <f t="shared" ca="1" si="3"/>
        <v>countries_img/SK.gif</v>
      </c>
      <c r="G63" s="3"/>
      <c r="H63" s="3"/>
      <c r="I63" s="3"/>
      <c r="J63" s="3"/>
      <c r="K63" s="3"/>
      <c r="M63" s="3">
        <f t="shared" ca="1" si="4"/>
        <v>0.60428967501841857</v>
      </c>
      <c r="N63" s="3" t="e">
        <f ca="1">IMAGE("https://www.asahi-net.or.jp/~yq3t-hruc/img/ZA.gif")</f>
        <v>#NAME?</v>
      </c>
      <c r="O63" s="2">
        <v>63</v>
      </c>
      <c r="P63" s="2" t="s">
        <v>62</v>
      </c>
      <c r="Q63" s="4" t="str">
        <f t="shared" ca="1" si="7"/>
        <v>=IMAGE("https://www.asahi-net.or.jp/~yq3t-hruc/img/ZA.gif")</v>
      </c>
      <c r="R63" s="5" t="str">
        <f t="shared" ca="1" si="5"/>
        <v>https://www.asahi-net.or.jp/~yq3t-hruc/img/ZA.gif</v>
      </c>
      <c r="S63" s="4" t="s">
        <v>136</v>
      </c>
    </row>
    <row r="64" spans="1:19" ht="40" customHeight="1" x14ac:dyDescent="0.25">
      <c r="A64" s="2">
        <v>64</v>
      </c>
      <c r="B64" s="2" t="s">
        <v>63</v>
      </c>
      <c r="C64" s="3"/>
      <c r="D64" s="3">
        <f t="shared" ca="1" si="6"/>
        <v>23</v>
      </c>
      <c r="E64" s="3" t="str">
        <f t="shared" ca="1" si="2"/>
        <v>クロアチア</v>
      </c>
      <c r="F64" s="3" t="str">
        <f t="shared" ca="1" si="3"/>
        <v>countries_img/HR.gif</v>
      </c>
      <c r="G64" s="3"/>
      <c r="H64" s="3"/>
      <c r="I64" s="3"/>
      <c r="J64" s="3"/>
      <c r="K64" s="3"/>
      <c r="M64" s="3">
        <f t="shared" ca="1" si="4"/>
        <v>0.71089900890002489</v>
      </c>
      <c r="N64" s="3" t="e">
        <f ca="1">IMAGE("https://www.asahi-net.or.jp/~yq3t-hruc/img/MM.gif")</f>
        <v>#NAME?</v>
      </c>
      <c r="O64" s="2">
        <v>64</v>
      </c>
      <c r="P64" s="2" t="s">
        <v>63</v>
      </c>
      <c r="Q64" s="4" t="str">
        <f t="shared" ca="1" si="7"/>
        <v>=IMAGE("https://www.asahi-net.or.jp/~yq3t-hruc/img/MM.gif")</v>
      </c>
      <c r="R64" s="5" t="str">
        <f t="shared" ca="1" si="5"/>
        <v>https://www.asahi-net.or.jp/~yq3t-hruc/img/MM.gif</v>
      </c>
      <c r="S64" s="4" t="s">
        <v>137</v>
      </c>
    </row>
    <row r="65" spans="1:19" ht="40" customHeight="1" x14ac:dyDescent="0.25">
      <c r="A65" s="2">
        <v>65</v>
      </c>
      <c r="B65" s="2" t="s">
        <v>64</v>
      </c>
      <c r="C65" s="3"/>
      <c r="D65" s="3">
        <f t="shared" ref="D65:D75" ca="1" si="8">RANK(M65,$M$1:$M$75)</f>
        <v>8</v>
      </c>
      <c r="E65" s="3" t="str">
        <f t="shared" ca="1" si="2"/>
        <v>イタリア</v>
      </c>
      <c r="F65" s="3" t="str">
        <f t="shared" ca="1" si="3"/>
        <v>countries_img/IT.gif</v>
      </c>
      <c r="G65" s="3"/>
      <c r="H65" s="3"/>
      <c r="I65" s="3"/>
      <c r="J65" s="3"/>
      <c r="K65" s="3"/>
      <c r="M65" s="3">
        <f t="shared" ca="1" si="4"/>
        <v>0.91878734554368757</v>
      </c>
      <c r="N65" s="3" t="e">
        <f ca="1">IMAGE("https://www.asahi-net.or.jp/~yq3t-hruc/img/MX.gif")</f>
        <v>#NAME?</v>
      </c>
      <c r="O65" s="2">
        <v>65</v>
      </c>
      <c r="P65" s="2" t="s">
        <v>64</v>
      </c>
      <c r="Q65" s="4" t="str">
        <f t="shared" ref="Q65:Q75" ca="1" si="9">_xlfn.FORMULATEXT(N65)</f>
        <v>=IMAGE("https://www.asahi-net.or.jp/~yq3t-hruc/img/MX.gif")</v>
      </c>
      <c r="R65" s="5" t="str">
        <f t="shared" ca="1" si="5"/>
        <v>https://www.asahi-net.or.jp/~yq3t-hruc/img/MX.gif</v>
      </c>
      <c r="S65" s="4" t="s">
        <v>138</v>
      </c>
    </row>
    <row r="66" spans="1:19" ht="40" customHeight="1" x14ac:dyDescent="0.25">
      <c r="A66" s="2">
        <v>66</v>
      </c>
      <c r="B66" s="2" t="s">
        <v>65</v>
      </c>
      <c r="C66" s="3"/>
      <c r="D66" s="3">
        <f t="shared" ca="1" si="8"/>
        <v>9</v>
      </c>
      <c r="E66" s="3" t="str">
        <f t="shared" ref="E66:E75" ca="1" si="10">VLOOKUP(D66,$A$1:$B$75,2)</f>
        <v>インド</v>
      </c>
      <c r="F66" s="3" t="str">
        <f t="shared" ref="F66:F75" ca="1" si="11">VLOOKUP(D66,$O$1:$S$75,5)</f>
        <v>countries_img/IN.gif</v>
      </c>
      <c r="G66" s="3"/>
      <c r="H66" s="3"/>
      <c r="I66" s="3"/>
      <c r="J66" s="3"/>
      <c r="K66" s="3"/>
      <c r="M66" s="3">
        <f t="shared" ref="M66:M75" ca="1" si="12">RAND()</f>
        <v>0.88557940862490081</v>
      </c>
      <c r="N66" s="3" t="e">
        <f ca="1">IMAGE("https://www.asahi-net.or.jp/~yq3t-hruc/img/MC.gif")</f>
        <v>#NAME?</v>
      </c>
      <c r="O66" s="2">
        <v>66</v>
      </c>
      <c r="P66" s="2" t="s">
        <v>65</v>
      </c>
      <c r="Q66" s="4" t="str">
        <f t="shared" ca="1" si="9"/>
        <v>=IMAGE("https://www.asahi-net.or.jp/~yq3t-hruc/img/MC.gif")</v>
      </c>
      <c r="R66" s="5" t="str">
        <f t="shared" ref="R66:R75" ca="1" si="13">MID(Q66,FIND("(",Q66)+2, FIND(")",Q66) -FIND("(",Q66)-3)</f>
        <v>https://www.asahi-net.or.jp/~yq3t-hruc/img/MC.gif</v>
      </c>
      <c r="S66" s="4" t="s">
        <v>139</v>
      </c>
    </row>
    <row r="67" spans="1:19" ht="40" customHeight="1" x14ac:dyDescent="0.25">
      <c r="A67" s="2">
        <v>67</v>
      </c>
      <c r="B67" s="2" t="s">
        <v>66</v>
      </c>
      <c r="C67" s="3"/>
      <c r="D67" s="3">
        <f t="shared" ca="1" si="8"/>
        <v>12</v>
      </c>
      <c r="E67" s="3" t="str">
        <f t="shared" ca="1" si="10"/>
        <v>エクアドル</v>
      </c>
      <c r="F67" s="3" t="str">
        <f t="shared" ca="1" si="11"/>
        <v>countries_img/EC.gif</v>
      </c>
      <c r="G67" s="3"/>
      <c r="H67" s="3"/>
      <c r="I67" s="3"/>
      <c r="J67" s="3"/>
      <c r="K67" s="3"/>
      <c r="M67" s="3">
        <f t="shared" ca="1" si="12"/>
        <v>0.83441085066632315</v>
      </c>
      <c r="N67" s="3" t="e">
        <f ca="1">IMAGE("https://www.asahi-net.or.jp/~yq3t-hruc/img/MA.gif")</f>
        <v>#NAME?</v>
      </c>
      <c r="O67" s="2">
        <v>67</v>
      </c>
      <c r="P67" s="2" t="s">
        <v>66</v>
      </c>
      <c r="Q67" s="4" t="str">
        <f t="shared" ca="1" si="9"/>
        <v>=IMAGE("https://www.asahi-net.or.jp/~yq3t-hruc/img/MA.gif")</v>
      </c>
      <c r="R67" s="5" t="str">
        <f t="shared" ca="1" si="13"/>
        <v>https://www.asahi-net.or.jp/~yq3t-hruc/img/MA.gif</v>
      </c>
      <c r="S67" s="4" t="s">
        <v>140</v>
      </c>
    </row>
    <row r="68" spans="1:19" ht="40" customHeight="1" x14ac:dyDescent="0.25">
      <c r="A68" s="2">
        <v>68</v>
      </c>
      <c r="B68" s="2" t="s">
        <v>67</v>
      </c>
      <c r="C68" s="3"/>
      <c r="D68" s="3">
        <f t="shared" ca="1" si="8"/>
        <v>37</v>
      </c>
      <c r="E68" s="3" t="str">
        <f t="shared" ca="1" si="10"/>
        <v>チリ</v>
      </c>
      <c r="F68" s="3" t="str">
        <f t="shared" ca="1" si="11"/>
        <v>countries_img/CL.gif</v>
      </c>
      <c r="G68" s="3"/>
      <c r="H68" s="3"/>
      <c r="I68" s="3"/>
      <c r="J68" s="3"/>
      <c r="K68" s="3"/>
      <c r="M68" s="3">
        <f t="shared" ca="1" si="12"/>
        <v>0.55777332744767327</v>
      </c>
      <c r="N68" s="3" t="e">
        <f ca="1">IMAGE("https://www.asahi-net.or.jp/~yq3t-hruc/img/MN.gif")</f>
        <v>#NAME?</v>
      </c>
      <c r="O68" s="2">
        <v>68</v>
      </c>
      <c r="P68" s="2" t="s">
        <v>67</v>
      </c>
      <c r="Q68" s="4" t="str">
        <f t="shared" ca="1" si="9"/>
        <v>=IMAGE("https://www.asahi-net.or.jp/~yq3t-hruc/img/MN.gif")</v>
      </c>
      <c r="R68" s="5" t="str">
        <f t="shared" ca="1" si="13"/>
        <v>https://www.asahi-net.or.jp/~yq3t-hruc/img/MN.gif</v>
      </c>
      <c r="S68" s="4" t="s">
        <v>141</v>
      </c>
    </row>
    <row r="69" spans="1:19" ht="40" customHeight="1" x14ac:dyDescent="0.25">
      <c r="A69" s="2">
        <v>69</v>
      </c>
      <c r="B69" s="2" t="s">
        <v>68</v>
      </c>
      <c r="C69" s="3"/>
      <c r="D69" s="3">
        <f t="shared" ca="1" si="8"/>
        <v>66</v>
      </c>
      <c r="E69" s="3" t="str">
        <f t="shared" ca="1" si="10"/>
        <v>モナコ</v>
      </c>
      <c r="F69" s="3" t="str">
        <f t="shared" ca="1" si="11"/>
        <v>countries_img/MC.gif</v>
      </c>
      <c r="G69" s="3"/>
      <c r="H69" s="3"/>
      <c r="I69" s="3"/>
      <c r="J69" s="3"/>
      <c r="K69" s="3"/>
      <c r="M69" s="3">
        <f t="shared" ca="1" si="12"/>
        <v>0.13573857006205459</v>
      </c>
      <c r="N69" s="3" t="e">
        <f ca="1">IMAGE("https://www.asahi-net.or.jp/~yq3t-hruc/img/MO.gif")</f>
        <v>#NAME?</v>
      </c>
      <c r="O69" s="2">
        <v>69</v>
      </c>
      <c r="P69" s="2" t="s">
        <v>68</v>
      </c>
      <c r="Q69" s="4" t="str">
        <f t="shared" ca="1" si="9"/>
        <v>=IMAGE("https://www.asahi-net.or.jp/~yq3t-hruc/img/MO.gif")</v>
      </c>
      <c r="R69" s="5" t="str">
        <f t="shared" ca="1" si="13"/>
        <v>https://www.asahi-net.or.jp/~yq3t-hruc/img/MO.gif</v>
      </c>
      <c r="S69" s="4" t="s">
        <v>142</v>
      </c>
    </row>
    <row r="70" spans="1:19" ht="40" customHeight="1" x14ac:dyDescent="0.25">
      <c r="A70" s="2">
        <v>70</v>
      </c>
      <c r="B70" s="2" t="s">
        <v>69</v>
      </c>
      <c r="C70" s="3"/>
      <c r="D70" s="3">
        <f t="shared" ca="1" si="8"/>
        <v>59</v>
      </c>
      <c r="E70" s="3" t="str">
        <f t="shared" ca="1" si="10"/>
        <v>ボリビア</v>
      </c>
      <c r="F70" s="3" t="str">
        <f t="shared" ca="1" si="11"/>
        <v>countries_img/BO.gif</v>
      </c>
      <c r="G70" s="3"/>
      <c r="H70" s="3"/>
      <c r="I70" s="3"/>
      <c r="J70" s="3"/>
      <c r="K70" s="3"/>
      <c r="M70" s="3">
        <f t="shared" ca="1" si="12"/>
        <v>0.2123498942234503</v>
      </c>
      <c r="N70" s="3" t="e">
        <f ca="1">IMAGE("https://www.asahi-net.or.jp/~yq3t-hruc/img/LA.gif")</f>
        <v>#NAME?</v>
      </c>
      <c r="O70" s="2">
        <v>70</v>
      </c>
      <c r="P70" s="2" t="s">
        <v>69</v>
      </c>
      <c r="Q70" s="4" t="str">
        <f t="shared" ca="1" si="9"/>
        <v>=IMAGE("https://www.asahi-net.or.jp/~yq3t-hruc/img/LA.gif")</v>
      </c>
      <c r="R70" s="5" t="str">
        <f t="shared" ca="1" si="13"/>
        <v>https://www.asahi-net.or.jp/~yq3t-hruc/img/LA.gif</v>
      </c>
      <c r="S70" s="4" t="s">
        <v>143</v>
      </c>
    </row>
    <row r="71" spans="1:19" ht="40" customHeight="1" x14ac:dyDescent="0.25">
      <c r="A71" s="2">
        <v>71</v>
      </c>
      <c r="B71" s="2" t="s">
        <v>70</v>
      </c>
      <c r="C71" s="3"/>
      <c r="D71" s="3">
        <f t="shared" ca="1" si="8"/>
        <v>51</v>
      </c>
      <c r="E71" s="3" t="str">
        <f t="shared" ca="1" si="10"/>
        <v>ブルガリア</v>
      </c>
      <c r="F71" s="3" t="str">
        <f t="shared" ca="1" si="11"/>
        <v>countries_img/BG.gif</v>
      </c>
      <c r="G71" s="3"/>
      <c r="H71" s="3"/>
      <c r="I71" s="3"/>
      <c r="J71" s="3"/>
      <c r="K71" s="3"/>
      <c r="M71" s="3">
        <f t="shared" ca="1" si="12"/>
        <v>0.33111706990302237</v>
      </c>
      <c r="N71" s="3" t="e">
        <f ca="1">IMAGE("https://www.asahi-net.or.jp/~yq3t-hruc/img/LV.gif")</f>
        <v>#NAME?</v>
      </c>
      <c r="O71" s="2">
        <v>71</v>
      </c>
      <c r="P71" s="2" t="s">
        <v>70</v>
      </c>
      <c r="Q71" s="4" t="str">
        <f t="shared" ca="1" si="9"/>
        <v>=IMAGE("https://www.asahi-net.or.jp/~yq3t-hruc/img/LV.gif")</v>
      </c>
      <c r="R71" s="5" t="str">
        <f t="shared" ca="1" si="13"/>
        <v>https://www.asahi-net.or.jp/~yq3t-hruc/img/LV.gif</v>
      </c>
      <c r="S71" s="4" t="s">
        <v>144</v>
      </c>
    </row>
    <row r="72" spans="1:19" ht="40" customHeight="1" x14ac:dyDescent="0.25">
      <c r="A72" s="2">
        <v>72</v>
      </c>
      <c r="B72" s="2" t="s">
        <v>71</v>
      </c>
      <c r="C72" s="3"/>
      <c r="D72" s="3">
        <f t="shared" ca="1" si="8"/>
        <v>4</v>
      </c>
      <c r="E72" s="3" t="str">
        <f t="shared" ca="1" si="10"/>
        <v>アラブ首長国連邦</v>
      </c>
      <c r="F72" s="3" t="str">
        <f t="shared" ca="1" si="11"/>
        <v>countries_img/AEL.GIF</v>
      </c>
      <c r="G72" s="3"/>
      <c r="H72" s="3"/>
      <c r="I72" s="3"/>
      <c r="J72" s="3"/>
      <c r="K72" s="3"/>
      <c r="M72" s="3">
        <f t="shared" ca="1" si="12"/>
        <v>0.9573817112254126</v>
      </c>
      <c r="N72" s="3" t="e">
        <f ca="1">IMAGE("https://www.asahi-net.or.jp/~yq3t-hruc/img/LT.gif")</f>
        <v>#NAME?</v>
      </c>
      <c r="O72" s="2">
        <v>72</v>
      </c>
      <c r="P72" s="2" t="s">
        <v>71</v>
      </c>
      <c r="Q72" s="4" t="str">
        <f t="shared" ca="1" si="9"/>
        <v>=IMAGE("https://www.asahi-net.or.jp/~yq3t-hruc/img/LT.gif")</v>
      </c>
      <c r="R72" s="5" t="str">
        <f t="shared" ca="1" si="13"/>
        <v>https://www.asahi-net.or.jp/~yq3t-hruc/img/LT.gif</v>
      </c>
      <c r="S72" s="4" t="s">
        <v>145</v>
      </c>
    </row>
    <row r="73" spans="1:19" ht="40" customHeight="1" x14ac:dyDescent="0.25">
      <c r="A73" s="2">
        <v>73</v>
      </c>
      <c r="B73" s="2" t="s">
        <v>72</v>
      </c>
      <c r="C73" s="3"/>
      <c r="D73" s="3">
        <f t="shared" ca="1" si="8"/>
        <v>42</v>
      </c>
      <c r="E73" s="3" t="str">
        <f t="shared" ca="1" si="10"/>
        <v>ニュージーランド</v>
      </c>
      <c r="F73" s="3" t="str">
        <f t="shared" ca="1" si="11"/>
        <v>countries_img/NZ.gif</v>
      </c>
      <c r="G73" s="3"/>
      <c r="H73" s="3"/>
      <c r="I73" s="3"/>
      <c r="J73" s="3"/>
      <c r="K73" s="3"/>
      <c r="M73" s="3">
        <f t="shared" ca="1" si="12"/>
        <v>0.50075086588759632</v>
      </c>
      <c r="N73" s="3" t="e">
        <f ca="1">IMAGE("https://www.asahi-net.or.jp/~yq3t-hruc/img/RO.gif")</f>
        <v>#NAME?</v>
      </c>
      <c r="O73" s="2">
        <v>73</v>
      </c>
      <c r="P73" s="2" t="s">
        <v>72</v>
      </c>
      <c r="Q73" s="4" t="str">
        <f t="shared" ca="1" si="9"/>
        <v>=IMAGE("https://www.asahi-net.or.jp/~yq3t-hruc/img/RO.gif")</v>
      </c>
      <c r="R73" s="5" t="str">
        <f t="shared" ca="1" si="13"/>
        <v>https://www.asahi-net.or.jp/~yq3t-hruc/img/RO.gif</v>
      </c>
      <c r="S73" s="4" t="s">
        <v>146</v>
      </c>
    </row>
    <row r="74" spans="1:19" ht="40" customHeight="1" x14ac:dyDescent="0.25">
      <c r="A74" s="2">
        <v>74</v>
      </c>
      <c r="B74" s="2" t="s">
        <v>73</v>
      </c>
      <c r="C74" s="3"/>
      <c r="D74" s="3">
        <f t="shared" ca="1" si="8"/>
        <v>69</v>
      </c>
      <c r="E74" s="3" t="str">
        <f t="shared" ca="1" si="10"/>
        <v>モンテネグロ</v>
      </c>
      <c r="F74" s="3" t="str">
        <f t="shared" ca="1" si="11"/>
        <v>countries_img/MO.gif</v>
      </c>
      <c r="G74" s="3"/>
      <c r="H74" s="3"/>
      <c r="I74" s="3"/>
      <c r="J74" s="3"/>
      <c r="K74" s="3"/>
      <c r="M74" s="3">
        <f t="shared" ca="1" si="12"/>
        <v>8.3400328282041469E-2</v>
      </c>
      <c r="N74" s="3" t="e">
        <f ca="1">IMAGE("https://www.asahi-net.or.jp/~yq3t-hruc/img/LU.gif")</f>
        <v>#NAME?</v>
      </c>
      <c r="O74" s="2">
        <v>74</v>
      </c>
      <c r="P74" s="2" t="s">
        <v>73</v>
      </c>
      <c r="Q74" s="4" t="str">
        <f t="shared" ca="1" si="9"/>
        <v>=IMAGE("https://www.asahi-net.or.jp/~yq3t-hruc/img/LU.gif")</v>
      </c>
      <c r="R74" s="5" t="str">
        <f t="shared" ca="1" si="13"/>
        <v>https://www.asahi-net.or.jp/~yq3t-hruc/img/LU.gif</v>
      </c>
      <c r="S74" s="4" t="s">
        <v>147</v>
      </c>
    </row>
    <row r="75" spans="1:19" ht="40" customHeight="1" x14ac:dyDescent="0.25">
      <c r="A75" s="2">
        <v>75</v>
      </c>
      <c r="B75" s="2" t="s">
        <v>74</v>
      </c>
      <c r="C75" s="3"/>
      <c r="D75" s="3">
        <f t="shared" ca="1" si="8"/>
        <v>38</v>
      </c>
      <c r="E75" s="3" t="str">
        <f t="shared" ca="1" si="10"/>
        <v>デンマーク</v>
      </c>
      <c r="F75" s="3" t="str">
        <f t="shared" ca="1" si="11"/>
        <v>countries_img/DK.gif</v>
      </c>
      <c r="G75" s="3"/>
      <c r="H75" s="3"/>
      <c r="I75" s="3"/>
      <c r="J75" s="3"/>
      <c r="K75" s="3"/>
      <c r="M75" s="3">
        <f t="shared" ca="1" si="12"/>
        <v>0.55455840789381905</v>
      </c>
      <c r="N75" s="3" t="e">
        <f ca="1">IMAGE("https://www.asahi-net.or.jp/~yq3t-hruc/img/RU.gif")</f>
        <v>#NAME?</v>
      </c>
      <c r="O75" s="2">
        <v>75</v>
      </c>
      <c r="P75" s="2" t="s">
        <v>74</v>
      </c>
      <c r="Q75" s="4" t="str">
        <f t="shared" ca="1" si="9"/>
        <v>=IMAGE("https://www.asahi-net.or.jp/~yq3t-hruc/img/RU.gif")</v>
      </c>
      <c r="R75" s="5" t="str">
        <f t="shared" ca="1" si="13"/>
        <v>https://www.asahi-net.or.jp/~yq3t-hruc/img/RU.gif</v>
      </c>
      <c r="S75" s="4" t="s">
        <v>148</v>
      </c>
    </row>
    <row r="76" spans="1:19" ht="40" customHeight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M76" s="3"/>
      <c r="N76" s="3"/>
      <c r="O76" s="3"/>
      <c r="P76" s="3"/>
      <c r="R76" s="3"/>
    </row>
    <row r="77" spans="1:19" ht="40" customHeight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M77" s="3"/>
      <c r="N77" s="3"/>
      <c r="O77" s="3"/>
      <c r="P77" s="3"/>
      <c r="R77" s="3"/>
    </row>
    <row r="78" spans="1:19" ht="40" customHeight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M78" s="3"/>
      <c r="N78" s="3"/>
      <c r="O78" s="3"/>
      <c r="P78" s="3"/>
      <c r="R78" s="3"/>
    </row>
    <row r="79" spans="1:19" ht="40" customHeight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M79" s="3"/>
      <c r="N79" s="3"/>
      <c r="O79" s="3"/>
      <c r="P79" s="3"/>
      <c r="R79" s="3"/>
    </row>
    <row r="80" spans="1:19" ht="40" customHeight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M80" s="3"/>
      <c r="N80" s="3"/>
      <c r="O80" s="3"/>
      <c r="P80" s="3"/>
      <c r="R80" s="3"/>
    </row>
    <row r="81" spans="1:18" ht="40" customHeight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M81" s="3"/>
      <c r="N81" s="3"/>
      <c r="O81" s="3"/>
      <c r="P81" s="3"/>
      <c r="R81" s="3"/>
    </row>
    <row r="82" spans="1:18" ht="40" customHeight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M82" s="3"/>
      <c r="N82" s="3"/>
      <c r="O82" s="3"/>
      <c r="P82" s="3"/>
      <c r="R82" s="3"/>
    </row>
    <row r="83" spans="1:18" ht="40" customHeight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M83" s="3"/>
      <c r="N83" s="3"/>
      <c r="O83" s="3"/>
      <c r="P83" s="3"/>
      <c r="R83" s="3"/>
    </row>
    <row r="84" spans="1:18" ht="40" customHeight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M84" s="3"/>
      <c r="N84" s="3"/>
      <c r="O84" s="3"/>
      <c r="P84" s="3"/>
      <c r="R84" s="3"/>
    </row>
    <row r="85" spans="1:18" ht="40" customHeight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M85" s="3"/>
      <c r="N85" s="3"/>
      <c r="O85" s="3"/>
      <c r="P85" s="3"/>
      <c r="R85" s="3"/>
    </row>
    <row r="86" spans="1:18" ht="40" customHeight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M86" s="3"/>
      <c r="N86" s="3"/>
      <c r="O86" s="3"/>
      <c r="P86" s="3"/>
      <c r="R86" s="3"/>
    </row>
    <row r="87" spans="1:18" ht="40" customHeight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M87" s="3"/>
      <c r="N87" s="3"/>
      <c r="O87" s="3"/>
      <c r="P87" s="3"/>
      <c r="R87" s="3"/>
    </row>
    <row r="88" spans="1:18" ht="40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M88" s="3"/>
      <c r="N88" s="3"/>
      <c r="O88" s="3"/>
      <c r="P88" s="3"/>
      <c r="R88" s="3"/>
    </row>
    <row r="89" spans="1:18" ht="40" customHeight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M89" s="3"/>
      <c r="N89" s="3"/>
      <c r="O89" s="3"/>
      <c r="P89" s="3"/>
      <c r="R89" s="3"/>
    </row>
    <row r="90" spans="1:18" ht="40" customHeight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M90" s="3"/>
      <c r="N90" s="3"/>
      <c r="O90" s="3"/>
      <c r="P90" s="3"/>
      <c r="R90" s="3"/>
    </row>
    <row r="91" spans="1:18" ht="40" customHeight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M91" s="3"/>
      <c r="N91" s="3"/>
      <c r="O91" s="3"/>
      <c r="P91" s="3"/>
      <c r="R91" s="3"/>
    </row>
    <row r="92" spans="1:18" ht="40" customHeight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M92" s="3"/>
      <c r="N92" s="3"/>
      <c r="O92" s="3"/>
      <c r="P92" s="3"/>
      <c r="R92" s="3"/>
    </row>
    <row r="93" spans="1:18" ht="40" customHeight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M93" s="3"/>
      <c r="N93" s="3"/>
      <c r="O93" s="3"/>
      <c r="P93" s="3"/>
      <c r="R93" s="3"/>
    </row>
    <row r="94" spans="1:18" ht="40" customHeight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M94" s="3"/>
      <c r="N94" s="3"/>
      <c r="O94" s="3"/>
      <c r="P94" s="3"/>
      <c r="R94" s="3"/>
    </row>
    <row r="95" spans="1:18" ht="40" customHeight="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M95" s="3"/>
      <c r="N95" s="3"/>
      <c r="O95" s="3"/>
      <c r="P95" s="3"/>
      <c r="R95" s="3"/>
    </row>
    <row r="96" spans="1:18" ht="40" customHeight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M96" s="3"/>
      <c r="N96" s="3"/>
      <c r="O96" s="3"/>
      <c r="P96" s="3"/>
      <c r="R96" s="3"/>
    </row>
    <row r="97" spans="1:18" ht="40" customHeight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M97" s="3"/>
      <c r="N97" s="3"/>
      <c r="O97" s="3"/>
      <c r="P97" s="3"/>
      <c r="R97" s="3"/>
    </row>
    <row r="98" spans="1:18" ht="40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M98" s="3"/>
      <c r="N98" s="3"/>
      <c r="O98" s="3"/>
      <c r="P98" s="3"/>
      <c r="R98" s="3"/>
    </row>
    <row r="99" spans="1:18" ht="40" customHeight="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M99" s="3"/>
      <c r="N99" s="3"/>
      <c r="O99" s="3"/>
      <c r="P99" s="3"/>
      <c r="R99" s="3"/>
    </row>
    <row r="100" spans="1:18" ht="40" customHeight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M100" s="3"/>
      <c r="N100" s="3"/>
      <c r="O100" s="3"/>
      <c r="P100" s="3"/>
      <c r="R100" s="3"/>
    </row>
    <row r="101" spans="1:18" ht="40" customHeight="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M101" s="3"/>
      <c r="N101" s="3"/>
      <c r="O101" s="3"/>
      <c r="P101" s="3"/>
      <c r="R101" s="3"/>
    </row>
    <row r="102" spans="1:18" ht="40" customHeight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M102" s="3"/>
      <c r="N102" s="3"/>
      <c r="O102" s="3"/>
      <c r="P102" s="3"/>
      <c r="R102" s="3"/>
    </row>
    <row r="103" spans="1:18" ht="40" customHeight="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M103" s="3"/>
      <c r="N103" s="3"/>
      <c r="O103" s="3"/>
      <c r="P103" s="3"/>
      <c r="R103" s="3"/>
    </row>
    <row r="104" spans="1:18" ht="40" customHeight="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M104" s="3"/>
      <c r="N104" s="3"/>
      <c r="O104" s="3"/>
      <c r="P104" s="3"/>
      <c r="R104" s="3"/>
    </row>
    <row r="105" spans="1:18" ht="40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M105" s="3"/>
      <c r="N105" s="3"/>
      <c r="O105" s="3"/>
      <c r="P105" s="3"/>
      <c r="R105" s="3"/>
    </row>
    <row r="106" spans="1:18" ht="40" customHeight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M106" s="3"/>
      <c r="N106" s="3"/>
      <c r="O106" s="3"/>
      <c r="P106" s="3"/>
      <c r="R106" s="3"/>
    </row>
    <row r="107" spans="1:18" ht="40" customHeight="1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M107" s="3"/>
      <c r="N107" s="3"/>
      <c r="O107" s="3"/>
      <c r="P107" s="3"/>
      <c r="R107" s="3"/>
    </row>
    <row r="108" spans="1:18" ht="40" customHeight="1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M108" s="3"/>
      <c r="N108" s="3"/>
      <c r="O108" s="3"/>
      <c r="P108" s="3"/>
      <c r="R108" s="3"/>
    </row>
    <row r="109" spans="1:18" ht="40" customHeight="1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M109" s="3"/>
      <c r="N109" s="3"/>
      <c r="O109" s="3"/>
      <c r="P109" s="3"/>
      <c r="R109" s="3"/>
    </row>
    <row r="110" spans="1:18" ht="40" customHeight="1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M110" s="3"/>
      <c r="N110" s="3"/>
      <c r="O110" s="3"/>
      <c r="P110" s="3"/>
      <c r="R110" s="3"/>
    </row>
    <row r="111" spans="1:18" ht="40" customHeight="1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M111" s="3"/>
      <c r="N111" s="3"/>
      <c r="O111" s="3"/>
      <c r="P111" s="3"/>
      <c r="R111" s="3"/>
    </row>
    <row r="112" spans="1:18" ht="40" customHeight="1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M112" s="3"/>
      <c r="N112" s="3"/>
      <c r="O112" s="3"/>
      <c r="P112" s="3"/>
      <c r="R112" s="3"/>
    </row>
    <row r="113" spans="1:18" ht="40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M113" s="3"/>
      <c r="N113" s="3"/>
      <c r="O113" s="3"/>
      <c r="P113" s="3"/>
      <c r="R113" s="3"/>
    </row>
    <row r="114" spans="1:18" ht="40" customHeight="1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M114" s="3"/>
      <c r="N114" s="3"/>
      <c r="O114" s="3"/>
      <c r="P114" s="3"/>
      <c r="R114" s="3"/>
    </row>
    <row r="115" spans="1:18" ht="40" customHeight="1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M115" s="3"/>
      <c r="N115" s="3"/>
      <c r="O115" s="3"/>
      <c r="P115" s="3"/>
      <c r="R115" s="3"/>
    </row>
    <row r="116" spans="1:18" ht="40" customHeight="1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M116" s="3"/>
      <c r="N116" s="3"/>
      <c r="O116" s="3"/>
      <c r="P116" s="3"/>
      <c r="R116" s="3"/>
    </row>
    <row r="117" spans="1:18" ht="40" customHeight="1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M117" s="3"/>
      <c r="N117" s="3"/>
      <c r="O117" s="3"/>
      <c r="P117" s="3"/>
      <c r="R117" s="3"/>
    </row>
    <row r="118" spans="1:18" ht="40" customHeight="1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M118" s="3"/>
      <c r="N118" s="3"/>
      <c r="O118" s="3"/>
      <c r="P118" s="3"/>
      <c r="R118" s="3"/>
    </row>
    <row r="119" spans="1:18" ht="40" customHeight="1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M119" s="3"/>
      <c r="N119" s="3"/>
      <c r="O119" s="3"/>
      <c r="P119" s="3"/>
      <c r="R119" s="3"/>
    </row>
    <row r="120" spans="1:18" ht="40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M120" s="3"/>
      <c r="N120" s="3"/>
      <c r="O120" s="3"/>
      <c r="P120" s="3"/>
      <c r="R120" s="3"/>
    </row>
    <row r="121" spans="1:18" ht="40" customHeight="1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M121" s="3"/>
      <c r="N121" s="3"/>
      <c r="O121" s="3"/>
      <c r="P121" s="3"/>
      <c r="R121" s="3"/>
    </row>
    <row r="122" spans="1:18" ht="40" customHeight="1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M122" s="3"/>
      <c r="N122" s="3"/>
      <c r="O122" s="3"/>
      <c r="P122" s="3"/>
      <c r="R122" s="3"/>
    </row>
    <row r="123" spans="1:18" ht="40" customHeight="1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M123" s="3"/>
      <c r="N123" s="3"/>
      <c r="O123" s="3"/>
      <c r="P123" s="3"/>
      <c r="R123" s="3"/>
    </row>
    <row r="124" spans="1:18" ht="40" customHeight="1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M124" s="3"/>
      <c r="N124" s="3"/>
      <c r="O124" s="3"/>
      <c r="P124" s="3"/>
      <c r="R124" s="3"/>
    </row>
    <row r="125" spans="1:18" ht="40" customHeight="1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M125" s="3"/>
      <c r="N125" s="3"/>
      <c r="O125" s="3"/>
      <c r="P125" s="3"/>
      <c r="R125" s="3"/>
    </row>
    <row r="126" spans="1:18" ht="40" customHeight="1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M126" s="3"/>
      <c r="N126" s="3"/>
      <c r="O126" s="3"/>
      <c r="P126" s="3"/>
      <c r="R126" s="3"/>
    </row>
    <row r="127" spans="1:18" ht="40" customHeight="1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M127" s="3"/>
      <c r="N127" s="3"/>
      <c r="O127" s="3"/>
      <c r="P127" s="3"/>
      <c r="R127" s="3"/>
    </row>
    <row r="128" spans="1:18" ht="40" customHeight="1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M128" s="3"/>
      <c r="N128" s="3"/>
      <c r="O128" s="3"/>
      <c r="P128" s="3"/>
      <c r="R128" s="3"/>
    </row>
    <row r="129" spans="1:18" ht="40" customHeight="1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M129" s="3"/>
      <c r="N129" s="3"/>
      <c r="O129" s="3"/>
      <c r="P129" s="3"/>
      <c r="R129" s="3"/>
    </row>
    <row r="130" spans="1:18" ht="40" customHeight="1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M130" s="3"/>
      <c r="N130" s="3"/>
      <c r="O130" s="3"/>
      <c r="P130" s="3"/>
      <c r="R130" s="3"/>
    </row>
    <row r="131" spans="1:18" ht="40" customHeight="1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M131" s="3"/>
      <c r="N131" s="3"/>
      <c r="O131" s="3"/>
      <c r="P131" s="3"/>
      <c r="R131" s="3"/>
    </row>
    <row r="132" spans="1:18" ht="40" customHeight="1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M132" s="3"/>
      <c r="N132" s="3"/>
      <c r="O132" s="3"/>
      <c r="P132" s="3"/>
      <c r="R132" s="3"/>
    </row>
    <row r="133" spans="1:18" ht="40" customHeight="1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M133" s="3"/>
      <c r="N133" s="3"/>
      <c r="O133" s="3"/>
      <c r="P133" s="3"/>
      <c r="R133" s="3"/>
    </row>
    <row r="134" spans="1:18" ht="40" customHeight="1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M134" s="3"/>
      <c r="N134" s="3"/>
      <c r="O134" s="3"/>
      <c r="P134" s="3"/>
      <c r="R134" s="3"/>
    </row>
    <row r="135" spans="1:18" ht="40" customHeight="1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M135" s="3"/>
      <c r="N135" s="3"/>
      <c r="O135" s="3"/>
      <c r="P135" s="3"/>
      <c r="R135" s="3"/>
    </row>
    <row r="136" spans="1:18" ht="40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M136" s="3"/>
      <c r="N136" s="3"/>
      <c r="O136" s="3"/>
      <c r="P136" s="3"/>
      <c r="R136" s="3"/>
    </row>
    <row r="137" spans="1:18" ht="40" customHeight="1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M137" s="3"/>
      <c r="N137" s="3"/>
      <c r="O137" s="3"/>
      <c r="P137" s="3"/>
      <c r="R137" s="3"/>
    </row>
    <row r="138" spans="1:18" ht="40" customHeight="1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M138" s="3"/>
      <c r="N138" s="3"/>
      <c r="O138" s="3"/>
      <c r="P138" s="3"/>
      <c r="R138" s="3"/>
    </row>
    <row r="139" spans="1:18" ht="40" customHeight="1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M139" s="3"/>
      <c r="N139" s="3"/>
      <c r="O139" s="3"/>
      <c r="P139" s="3"/>
      <c r="R139" s="3"/>
    </row>
    <row r="140" spans="1:18" ht="40" customHeight="1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M140" s="3"/>
      <c r="N140" s="3"/>
      <c r="O140" s="3"/>
      <c r="P140" s="3"/>
      <c r="R140" s="3"/>
    </row>
    <row r="141" spans="1:18" ht="40" customHeight="1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M141" s="3"/>
      <c r="N141" s="3"/>
      <c r="O141" s="3"/>
      <c r="P141" s="3"/>
      <c r="R141" s="3"/>
    </row>
    <row r="142" spans="1:18" ht="40" customHeight="1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M142" s="3"/>
      <c r="N142" s="3"/>
      <c r="O142" s="3"/>
      <c r="P142" s="3"/>
      <c r="R142" s="3"/>
    </row>
    <row r="143" spans="1:18" ht="40" customHeight="1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M143" s="3"/>
      <c r="N143" s="3"/>
      <c r="O143" s="3"/>
      <c r="P143" s="3"/>
      <c r="R143" s="3"/>
    </row>
    <row r="144" spans="1:18" ht="40" customHeight="1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M144" s="3"/>
      <c r="N144" s="3"/>
      <c r="O144" s="3"/>
      <c r="P144" s="3"/>
      <c r="R144" s="3"/>
    </row>
    <row r="145" spans="1:18" ht="40" customHeight="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M145" s="3"/>
      <c r="N145" s="3"/>
      <c r="O145" s="3"/>
      <c r="P145" s="3"/>
      <c r="R145" s="3"/>
    </row>
    <row r="146" spans="1:18" ht="40" customHeight="1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M146" s="3"/>
      <c r="N146" s="3"/>
      <c r="O146" s="3"/>
      <c r="P146" s="3"/>
      <c r="R146" s="3"/>
    </row>
    <row r="147" spans="1:18" ht="40" customHeight="1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M147" s="3"/>
      <c r="N147" s="3"/>
      <c r="O147" s="3"/>
      <c r="P147" s="3"/>
      <c r="R147" s="3"/>
    </row>
    <row r="148" spans="1:18" ht="40" customHeight="1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M148" s="3"/>
      <c r="N148" s="3"/>
      <c r="O148" s="3"/>
      <c r="P148" s="3"/>
      <c r="R148" s="3"/>
    </row>
    <row r="149" spans="1:18" ht="40" customHeight="1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M149" s="3"/>
      <c r="N149" s="3"/>
      <c r="O149" s="3"/>
      <c r="P149" s="3"/>
      <c r="R149" s="3"/>
    </row>
    <row r="150" spans="1:18" ht="40" customHeight="1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M150" s="3"/>
      <c r="N150" s="3"/>
      <c r="O150" s="3"/>
      <c r="P150" s="3"/>
      <c r="R150" s="3"/>
    </row>
    <row r="151" spans="1:18" ht="40" customHeight="1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M151" s="3"/>
      <c r="N151" s="3"/>
      <c r="O151" s="3"/>
      <c r="P151" s="3"/>
      <c r="R151" s="3"/>
    </row>
    <row r="152" spans="1:18" ht="40" customHeight="1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M152" s="3"/>
      <c r="N152" s="3"/>
      <c r="O152" s="3"/>
      <c r="P152" s="3"/>
      <c r="R152" s="3"/>
    </row>
    <row r="153" spans="1:18" ht="40" customHeight="1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M153" s="3"/>
      <c r="N153" s="3"/>
      <c r="O153" s="3"/>
      <c r="P153" s="3"/>
      <c r="R153" s="3"/>
    </row>
    <row r="154" spans="1:18" ht="40" customHeight="1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M154" s="3"/>
      <c r="N154" s="3"/>
      <c r="O154" s="3"/>
      <c r="P154" s="3"/>
      <c r="R154" s="3"/>
    </row>
    <row r="155" spans="1:18" ht="40" customHeight="1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M155" s="3"/>
      <c r="N155" s="3"/>
      <c r="O155" s="3"/>
      <c r="P155" s="3"/>
      <c r="R155" s="3"/>
    </row>
    <row r="156" spans="1:18" ht="40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M156" s="3"/>
      <c r="N156" s="3"/>
      <c r="O156" s="3"/>
      <c r="P156" s="3"/>
      <c r="R156" s="3"/>
    </row>
    <row r="157" spans="1:18" ht="40" customHeight="1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M157" s="3"/>
      <c r="N157" s="3"/>
      <c r="O157" s="3"/>
      <c r="P157" s="3"/>
      <c r="R157" s="3"/>
    </row>
    <row r="158" spans="1:18" ht="40" customHeight="1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M158" s="3"/>
      <c r="N158" s="3"/>
      <c r="O158" s="3"/>
      <c r="P158" s="3"/>
      <c r="R158" s="3"/>
    </row>
    <row r="159" spans="1:18" ht="40" customHeight="1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M159" s="3"/>
      <c r="N159" s="3"/>
      <c r="O159" s="3"/>
      <c r="P159" s="3"/>
      <c r="R159" s="3"/>
    </row>
    <row r="160" spans="1:18" ht="40" customHeight="1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M160" s="3"/>
      <c r="N160" s="3"/>
      <c r="O160" s="3"/>
      <c r="P160" s="3"/>
      <c r="R160" s="3"/>
    </row>
    <row r="161" spans="1:18" ht="40" customHeight="1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M161" s="3"/>
      <c r="N161" s="3"/>
      <c r="O161" s="3"/>
      <c r="P161" s="3"/>
      <c r="R161" s="3"/>
    </row>
    <row r="162" spans="1:18" ht="40" customHeight="1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M162" s="3"/>
      <c r="N162" s="3"/>
      <c r="O162" s="3"/>
      <c r="P162" s="3"/>
      <c r="R162" s="3"/>
    </row>
    <row r="163" spans="1:18" ht="40" customHeight="1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M163" s="3"/>
      <c r="N163" s="3"/>
      <c r="O163" s="3"/>
      <c r="P163" s="3"/>
      <c r="R163" s="3"/>
    </row>
    <row r="164" spans="1:18" ht="40" customHeight="1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M164" s="3"/>
      <c r="N164" s="3"/>
      <c r="O164" s="3"/>
      <c r="P164" s="3"/>
      <c r="R164" s="3"/>
    </row>
    <row r="165" spans="1:18" ht="40" customHeight="1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M165" s="3"/>
      <c r="N165" s="3"/>
      <c r="O165" s="3"/>
      <c r="P165" s="3"/>
      <c r="R165" s="3"/>
    </row>
    <row r="166" spans="1:18" ht="40" customHeight="1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M166" s="3"/>
      <c r="N166" s="3"/>
      <c r="O166" s="3"/>
      <c r="P166" s="3"/>
      <c r="R166" s="3"/>
    </row>
    <row r="167" spans="1:18" ht="40" customHeight="1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M167" s="3"/>
      <c r="N167" s="3"/>
      <c r="O167" s="3"/>
      <c r="P167" s="3"/>
      <c r="R167" s="3"/>
    </row>
    <row r="168" spans="1:18" ht="40" customHeight="1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M168" s="3"/>
      <c r="N168" s="3"/>
      <c r="O168" s="3"/>
      <c r="P168" s="3"/>
      <c r="R168" s="3"/>
    </row>
    <row r="169" spans="1:18" ht="40" customHeight="1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M169" s="3"/>
      <c r="N169" s="3"/>
      <c r="O169" s="3"/>
      <c r="P169" s="3"/>
      <c r="R169" s="3"/>
    </row>
    <row r="170" spans="1:18" ht="40" customHeight="1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M170" s="3"/>
      <c r="N170" s="3"/>
      <c r="O170" s="3"/>
      <c r="P170" s="3"/>
      <c r="R170" s="3"/>
    </row>
    <row r="171" spans="1:18" ht="40" customHeight="1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M171" s="3"/>
      <c r="N171" s="3"/>
      <c r="O171" s="3"/>
      <c r="P171" s="3"/>
      <c r="R171" s="3"/>
    </row>
    <row r="172" spans="1:18" ht="40" customHeight="1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M172" s="3"/>
      <c r="N172" s="3"/>
      <c r="O172" s="3"/>
      <c r="P172" s="3"/>
      <c r="R172" s="3"/>
    </row>
    <row r="173" spans="1:18" ht="40" customHeight="1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M173" s="3"/>
      <c r="N173" s="3"/>
      <c r="O173" s="3"/>
      <c r="P173" s="3"/>
      <c r="R173" s="3"/>
    </row>
    <row r="174" spans="1:18" ht="40" customHeight="1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M174" s="3"/>
      <c r="N174" s="3"/>
      <c r="O174" s="3"/>
      <c r="P174" s="3"/>
      <c r="R174" s="3"/>
    </row>
    <row r="175" spans="1:18" ht="40" customHeight="1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M175" s="3"/>
      <c r="N175" s="3"/>
      <c r="O175" s="3"/>
      <c r="P175" s="3"/>
      <c r="R175" s="3"/>
    </row>
    <row r="176" spans="1:18" ht="40" customHeight="1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M176" s="3"/>
      <c r="N176" s="3"/>
      <c r="O176" s="3"/>
      <c r="P176" s="3"/>
      <c r="R176" s="3"/>
    </row>
    <row r="177" spans="1:18" ht="40" customHeight="1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M177" s="3"/>
      <c r="N177" s="3"/>
      <c r="O177" s="3"/>
      <c r="P177" s="3"/>
      <c r="R177" s="3"/>
    </row>
    <row r="178" spans="1:18" ht="40" customHeight="1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M178" s="3"/>
      <c r="N178" s="3"/>
      <c r="O178" s="3"/>
      <c r="P178" s="3"/>
      <c r="R178" s="3"/>
    </row>
    <row r="179" spans="1:18" ht="40" customHeight="1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M179" s="3"/>
      <c r="N179" s="3"/>
      <c r="O179" s="3"/>
      <c r="P179" s="3"/>
      <c r="R179" s="3"/>
    </row>
    <row r="180" spans="1:18" ht="40" customHeight="1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M180" s="3"/>
      <c r="N180" s="3"/>
      <c r="O180" s="3"/>
      <c r="P180" s="3"/>
      <c r="R180" s="3"/>
    </row>
    <row r="181" spans="1:18" ht="40" customHeight="1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M181" s="3"/>
      <c r="N181" s="3"/>
      <c r="O181" s="3"/>
      <c r="P181" s="3"/>
      <c r="R181" s="3"/>
    </row>
    <row r="182" spans="1:18" ht="40" customHeight="1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M182" s="3"/>
      <c r="N182" s="3"/>
      <c r="O182" s="3"/>
      <c r="P182" s="3"/>
      <c r="R182" s="3"/>
    </row>
    <row r="183" spans="1:18" ht="40" customHeight="1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M183" s="3"/>
      <c r="N183" s="3"/>
      <c r="O183" s="3"/>
      <c r="P183" s="3"/>
      <c r="R183" s="3"/>
    </row>
    <row r="184" spans="1:18" ht="40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M184" s="3"/>
      <c r="N184" s="3"/>
      <c r="O184" s="3"/>
      <c r="P184" s="3"/>
      <c r="R184" s="3"/>
    </row>
    <row r="185" spans="1:18" ht="40" customHeight="1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M185" s="3"/>
      <c r="N185" s="3"/>
      <c r="O185" s="3"/>
      <c r="P185" s="3"/>
      <c r="R185" s="3"/>
    </row>
    <row r="186" spans="1:18" ht="40" customHeight="1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M186" s="3"/>
      <c r="N186" s="3"/>
      <c r="O186" s="3"/>
      <c r="P186" s="3"/>
      <c r="R186" s="3"/>
    </row>
    <row r="187" spans="1:18" ht="40" customHeight="1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M187" s="3"/>
      <c r="N187" s="3"/>
      <c r="O187" s="3"/>
      <c r="P187" s="3"/>
      <c r="R187" s="3"/>
    </row>
    <row r="188" spans="1:18" ht="40" customHeight="1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M188" s="3"/>
      <c r="N188" s="3"/>
      <c r="O188" s="3"/>
      <c r="P188" s="3"/>
      <c r="R188" s="3"/>
    </row>
    <row r="189" spans="1:18" ht="40" customHeight="1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M189" s="3"/>
      <c r="N189" s="3"/>
      <c r="O189" s="3"/>
      <c r="P189" s="3"/>
      <c r="R189" s="3"/>
    </row>
    <row r="190" spans="1:18" ht="40" customHeight="1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M190" s="3"/>
      <c r="N190" s="3"/>
      <c r="O190" s="3"/>
      <c r="P190" s="3"/>
      <c r="R190" s="3"/>
    </row>
    <row r="191" spans="1:18" ht="40" customHeight="1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M191" s="3"/>
      <c r="N191" s="3"/>
      <c r="O191" s="3"/>
      <c r="P191" s="3"/>
      <c r="R191" s="3"/>
    </row>
    <row r="192" spans="1:18" ht="40" customHeight="1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M192" s="3"/>
      <c r="N192" s="3"/>
      <c r="O192" s="3"/>
      <c r="P192" s="3"/>
      <c r="R192" s="3"/>
    </row>
    <row r="193" spans="1:18" ht="40" customHeight="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M193" s="3"/>
      <c r="N193" s="3"/>
      <c r="O193" s="3"/>
      <c r="P193" s="3"/>
      <c r="R193" s="3"/>
    </row>
    <row r="194" spans="1:18" ht="40" customHeight="1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M194" s="3"/>
      <c r="N194" s="3"/>
      <c r="O194" s="3"/>
      <c r="P194" s="3"/>
      <c r="R194" s="3"/>
    </row>
    <row r="195" spans="1:18" ht="40" customHeight="1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M195" s="3"/>
      <c r="N195" s="3"/>
      <c r="O195" s="3"/>
      <c r="P195" s="3"/>
      <c r="R195" s="3"/>
    </row>
    <row r="196" spans="1:18" ht="40" customHeight="1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M196" s="3"/>
      <c r="N196" s="3"/>
      <c r="O196" s="3"/>
      <c r="P196" s="3"/>
      <c r="R196" s="3"/>
    </row>
    <row r="197" spans="1:18" ht="40" customHeight="1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M197" s="3"/>
      <c r="N197" s="3"/>
      <c r="O197" s="3"/>
      <c r="P197" s="3"/>
      <c r="R197" s="3"/>
    </row>
    <row r="198" spans="1:18" ht="40" customHeight="1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M198" s="3"/>
      <c r="N198" s="3"/>
      <c r="O198" s="3"/>
      <c r="P198" s="3"/>
      <c r="R198" s="3"/>
    </row>
    <row r="199" spans="1:18" ht="40" customHeight="1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M199" s="3"/>
      <c r="N199" s="3"/>
      <c r="O199" s="3"/>
      <c r="P199" s="3"/>
      <c r="R199" s="3"/>
    </row>
    <row r="200" spans="1:18" ht="40" customHeight="1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M200" s="3"/>
      <c r="N200" s="3"/>
      <c r="O200" s="3"/>
      <c r="P200" s="3"/>
      <c r="R200" s="3"/>
    </row>
    <row r="201" spans="1:18" ht="40" customHeight="1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M201" s="3"/>
      <c r="N201" s="3"/>
      <c r="O201" s="3"/>
      <c r="P201" s="3"/>
      <c r="R201" s="3"/>
    </row>
    <row r="202" spans="1:18" ht="40" customHeight="1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M202" s="3"/>
      <c r="N202" s="3"/>
      <c r="O202" s="3"/>
      <c r="P202" s="3"/>
      <c r="R202" s="3"/>
    </row>
    <row r="203" spans="1:18" ht="40" customHeight="1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M203" s="3"/>
      <c r="N203" s="3"/>
      <c r="O203" s="3"/>
      <c r="P203" s="3"/>
      <c r="R203" s="3"/>
    </row>
    <row r="204" spans="1:18" ht="40" customHeight="1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M204" s="3"/>
      <c r="N204" s="3"/>
      <c r="O204" s="3"/>
      <c r="P204" s="3"/>
      <c r="R204" s="3"/>
    </row>
    <row r="205" spans="1:18" ht="40" customHeight="1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M205" s="3"/>
      <c r="N205" s="3"/>
      <c r="O205" s="3"/>
      <c r="P205" s="3"/>
      <c r="R205" s="3"/>
    </row>
    <row r="206" spans="1:18" ht="40" customHeight="1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M206" s="3"/>
      <c r="N206" s="3"/>
      <c r="O206" s="3"/>
      <c r="P206" s="3"/>
      <c r="R206" s="3"/>
    </row>
    <row r="207" spans="1:18" ht="40" customHeight="1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M207" s="3"/>
      <c r="N207" s="3"/>
      <c r="O207" s="3"/>
      <c r="P207" s="3"/>
      <c r="R207" s="3"/>
    </row>
    <row r="208" spans="1:18" ht="40" customHeight="1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M208" s="3"/>
      <c r="N208" s="3"/>
      <c r="O208" s="3"/>
      <c r="P208" s="3"/>
      <c r="R208" s="3"/>
    </row>
    <row r="209" spans="1:18" ht="40" customHeight="1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M209" s="3"/>
      <c r="N209" s="3"/>
      <c r="O209" s="3"/>
      <c r="P209" s="3"/>
      <c r="R209" s="3"/>
    </row>
    <row r="210" spans="1:18" ht="40" customHeight="1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M210" s="3"/>
      <c r="N210" s="3"/>
      <c r="O210" s="3"/>
      <c r="P210" s="3"/>
      <c r="R210" s="3"/>
    </row>
    <row r="211" spans="1:18" ht="40" customHeight="1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M211" s="3"/>
      <c r="N211" s="3"/>
      <c r="O211" s="3"/>
      <c r="P211" s="3"/>
      <c r="R211" s="3"/>
    </row>
    <row r="212" spans="1:18" ht="40" customHeight="1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M212" s="3"/>
      <c r="N212" s="3"/>
      <c r="O212" s="3"/>
      <c r="P212" s="3"/>
      <c r="R212" s="3"/>
    </row>
    <row r="213" spans="1:18" ht="40" customHeight="1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M213" s="3"/>
      <c r="N213" s="3"/>
      <c r="O213" s="3"/>
      <c r="P213" s="3"/>
      <c r="R213" s="3"/>
    </row>
    <row r="214" spans="1:18" ht="40" customHeight="1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M214" s="3"/>
      <c r="N214" s="3"/>
      <c r="O214" s="3"/>
      <c r="P214" s="3"/>
      <c r="R214" s="3"/>
    </row>
    <row r="215" spans="1:18" ht="40" customHeight="1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M215" s="3"/>
      <c r="N215" s="3"/>
      <c r="O215" s="3"/>
      <c r="P215" s="3"/>
      <c r="R215" s="3"/>
    </row>
    <row r="216" spans="1:18" ht="40" customHeight="1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M216" s="3"/>
      <c r="N216" s="3"/>
      <c r="O216" s="3"/>
      <c r="P216" s="3"/>
      <c r="R216" s="3"/>
    </row>
    <row r="217" spans="1:18" ht="40" customHeight="1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M217" s="3"/>
      <c r="N217" s="3"/>
      <c r="O217" s="3"/>
      <c r="P217" s="3"/>
      <c r="R217" s="3"/>
    </row>
    <row r="218" spans="1:18" ht="40" customHeight="1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M218" s="3"/>
      <c r="N218" s="3"/>
      <c r="O218" s="3"/>
      <c r="P218" s="3"/>
      <c r="R218" s="3"/>
    </row>
    <row r="219" spans="1:18" ht="40" customHeight="1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M219" s="3"/>
      <c r="N219" s="3"/>
      <c r="O219" s="3"/>
      <c r="P219" s="3"/>
      <c r="R219" s="3"/>
    </row>
    <row r="220" spans="1:18" ht="40" customHeight="1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M220" s="3"/>
      <c r="N220" s="3"/>
      <c r="O220" s="3"/>
      <c r="P220" s="3"/>
      <c r="R220" s="3"/>
    </row>
    <row r="221" spans="1:18" ht="40" customHeight="1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M221" s="3"/>
      <c r="N221" s="3"/>
      <c r="O221" s="3"/>
      <c r="P221" s="3"/>
      <c r="R221" s="3"/>
    </row>
    <row r="222" spans="1:18" ht="40" customHeight="1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M222" s="3"/>
      <c r="N222" s="3"/>
      <c r="O222" s="3"/>
      <c r="P222" s="3"/>
      <c r="R222" s="3"/>
    </row>
    <row r="223" spans="1:18" ht="40" customHeight="1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M223" s="3"/>
      <c r="N223" s="3"/>
      <c r="O223" s="3"/>
      <c r="P223" s="3"/>
      <c r="R223" s="3"/>
    </row>
    <row r="224" spans="1:18" ht="40" customHeight="1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M224" s="3"/>
      <c r="N224" s="3"/>
      <c r="O224" s="3"/>
      <c r="P224" s="3"/>
      <c r="R224" s="3"/>
    </row>
    <row r="225" spans="1:18" ht="40" customHeight="1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M225" s="3"/>
      <c r="N225" s="3"/>
      <c r="O225" s="3"/>
      <c r="P225" s="3"/>
      <c r="R225" s="3"/>
    </row>
    <row r="226" spans="1:18" ht="40" customHeight="1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M226" s="3"/>
      <c r="N226" s="3"/>
      <c r="O226" s="3"/>
      <c r="P226" s="3"/>
      <c r="R226" s="3"/>
    </row>
    <row r="227" spans="1:18" ht="40" customHeight="1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M227" s="3"/>
      <c r="N227" s="3"/>
      <c r="O227" s="3"/>
      <c r="P227" s="3"/>
      <c r="R227" s="3"/>
    </row>
    <row r="228" spans="1:18" ht="40" customHeight="1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M228" s="3"/>
      <c r="N228" s="3"/>
      <c r="O228" s="3"/>
      <c r="P228" s="3"/>
      <c r="R228" s="3"/>
    </row>
    <row r="229" spans="1:18" ht="40" customHeight="1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M229" s="3"/>
      <c r="N229" s="3"/>
      <c r="O229" s="3"/>
      <c r="P229" s="3"/>
      <c r="R229" s="3"/>
    </row>
    <row r="230" spans="1:18" ht="40" customHeight="1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M230" s="3"/>
      <c r="N230" s="3"/>
      <c r="O230" s="3"/>
      <c r="P230" s="3"/>
      <c r="R230" s="3"/>
    </row>
    <row r="231" spans="1:18" ht="40" customHeight="1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M231" s="3"/>
      <c r="N231" s="3"/>
      <c r="O231" s="3"/>
      <c r="P231" s="3"/>
      <c r="R231" s="3"/>
    </row>
    <row r="232" spans="1:18" ht="40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M232" s="3"/>
      <c r="N232" s="3"/>
      <c r="O232" s="3"/>
      <c r="P232" s="3"/>
      <c r="R232" s="3"/>
    </row>
    <row r="233" spans="1:18" ht="40" customHeight="1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M233" s="3"/>
      <c r="N233" s="3"/>
      <c r="O233" s="3"/>
      <c r="P233" s="3"/>
      <c r="R233" s="3"/>
    </row>
    <row r="234" spans="1:18" ht="40" customHeight="1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M234" s="3"/>
      <c r="N234" s="3"/>
      <c r="O234" s="3"/>
      <c r="P234" s="3"/>
      <c r="R234" s="3"/>
    </row>
    <row r="235" spans="1:18" ht="40" customHeight="1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M235" s="3"/>
      <c r="N235" s="3"/>
      <c r="O235" s="3"/>
      <c r="P235" s="3"/>
      <c r="R235" s="3"/>
    </row>
    <row r="236" spans="1:18" ht="40" customHeight="1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M236" s="3"/>
      <c r="N236" s="3"/>
      <c r="O236" s="3"/>
      <c r="P236" s="3"/>
      <c r="R236" s="3"/>
    </row>
    <row r="237" spans="1:18" ht="40" customHeight="1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M237" s="3"/>
      <c r="N237" s="3"/>
      <c r="O237" s="3"/>
      <c r="P237" s="3"/>
      <c r="R237" s="3"/>
    </row>
    <row r="238" spans="1:18" ht="40" customHeight="1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M238" s="3"/>
      <c r="N238" s="3"/>
      <c r="O238" s="3"/>
      <c r="P238" s="3"/>
      <c r="R238" s="3"/>
    </row>
    <row r="239" spans="1:18" ht="40" customHeight="1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M239" s="3"/>
      <c r="N239" s="3"/>
      <c r="O239" s="3"/>
      <c r="P239" s="3"/>
      <c r="R239" s="3"/>
    </row>
    <row r="240" spans="1:18" ht="40" customHeight="1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M240" s="3"/>
      <c r="N240" s="3"/>
      <c r="O240" s="3"/>
      <c r="P240" s="3"/>
      <c r="R240" s="3"/>
    </row>
    <row r="241" spans="1:18" ht="40" customHeight="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M241" s="3"/>
      <c r="N241" s="3"/>
      <c r="O241" s="3"/>
      <c r="P241" s="3"/>
      <c r="R241" s="3"/>
    </row>
    <row r="242" spans="1:18" ht="40" customHeight="1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M242" s="3"/>
      <c r="N242" s="3"/>
      <c r="O242" s="3"/>
      <c r="P242" s="3"/>
      <c r="R242" s="3"/>
    </row>
    <row r="243" spans="1:18" ht="40" customHeight="1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M243" s="3"/>
      <c r="N243" s="3"/>
      <c r="O243" s="3"/>
      <c r="P243" s="3"/>
      <c r="R243" s="3"/>
    </row>
    <row r="244" spans="1:18" ht="40" customHeight="1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M244" s="3"/>
      <c r="N244" s="3"/>
      <c r="O244" s="3"/>
      <c r="P244" s="3"/>
      <c r="R244" s="3"/>
    </row>
    <row r="245" spans="1:18" ht="40" customHeight="1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M245" s="3"/>
      <c r="N245" s="3"/>
      <c r="O245" s="3"/>
      <c r="P245" s="3"/>
      <c r="R245" s="3"/>
    </row>
    <row r="246" spans="1:18" ht="40" customHeight="1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M246" s="3"/>
      <c r="N246" s="3"/>
      <c r="O246" s="3"/>
      <c r="P246" s="3"/>
      <c r="R246" s="3"/>
    </row>
    <row r="247" spans="1:18" ht="40" customHeight="1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M247" s="3"/>
      <c r="N247" s="3"/>
      <c r="O247" s="3"/>
      <c r="P247" s="3"/>
      <c r="R247" s="3"/>
    </row>
    <row r="248" spans="1:18" ht="40" customHeight="1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M248" s="3"/>
      <c r="N248" s="3"/>
      <c r="O248" s="3"/>
      <c r="P248" s="3"/>
      <c r="R248" s="3"/>
    </row>
    <row r="249" spans="1:18" ht="40" customHeight="1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M249" s="3"/>
      <c r="N249" s="3"/>
      <c r="O249" s="3"/>
      <c r="P249" s="3"/>
      <c r="R249" s="3"/>
    </row>
    <row r="250" spans="1:18" ht="40" customHeight="1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M250" s="3"/>
      <c r="N250" s="3"/>
      <c r="O250" s="3"/>
      <c r="P250" s="3"/>
      <c r="R250" s="3"/>
    </row>
    <row r="251" spans="1:18" ht="40" customHeight="1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M251" s="3"/>
      <c r="N251" s="3"/>
      <c r="O251" s="3"/>
      <c r="P251" s="3"/>
      <c r="R251" s="3"/>
    </row>
    <row r="252" spans="1:18" ht="40" customHeight="1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M252" s="3"/>
      <c r="N252" s="3"/>
      <c r="O252" s="3"/>
      <c r="P252" s="3"/>
      <c r="R252" s="3"/>
    </row>
    <row r="253" spans="1:18" ht="40" customHeight="1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M253" s="3"/>
      <c r="N253" s="3"/>
      <c r="O253" s="3"/>
      <c r="P253" s="3"/>
      <c r="R253" s="3"/>
    </row>
    <row r="254" spans="1:18" ht="40" customHeight="1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M254" s="3"/>
      <c r="N254" s="3"/>
      <c r="O254" s="3"/>
      <c r="P254" s="3"/>
      <c r="R254" s="3"/>
    </row>
    <row r="255" spans="1:18" ht="40" customHeight="1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M255" s="3"/>
      <c r="N255" s="3"/>
      <c r="O255" s="3"/>
      <c r="P255" s="3"/>
      <c r="R255" s="3"/>
    </row>
    <row r="256" spans="1:18" ht="40" customHeight="1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M256" s="3"/>
      <c r="N256" s="3"/>
      <c r="O256" s="3"/>
      <c r="P256" s="3"/>
      <c r="R256" s="3"/>
    </row>
    <row r="257" spans="1:18" ht="40" customHeight="1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M257" s="3"/>
      <c r="N257" s="3"/>
      <c r="O257" s="3"/>
      <c r="P257" s="3"/>
      <c r="R257" s="3"/>
    </row>
    <row r="258" spans="1:18" ht="40" customHeight="1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M258" s="3"/>
      <c r="N258" s="3"/>
      <c r="O258" s="3"/>
      <c r="P258" s="3"/>
      <c r="R258" s="3"/>
    </row>
    <row r="259" spans="1:18" ht="40" customHeight="1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M259" s="3"/>
      <c r="N259" s="3"/>
      <c r="O259" s="3"/>
      <c r="P259" s="3"/>
      <c r="R259" s="3"/>
    </row>
    <row r="260" spans="1:18" ht="40" customHeight="1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M260" s="3"/>
      <c r="N260" s="3"/>
      <c r="O260" s="3"/>
      <c r="P260" s="3"/>
      <c r="R260" s="3"/>
    </row>
    <row r="261" spans="1:18" ht="40" customHeight="1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M261" s="3"/>
      <c r="N261" s="3"/>
      <c r="O261" s="3"/>
      <c r="P261" s="3"/>
      <c r="R261" s="3"/>
    </row>
    <row r="262" spans="1:18" ht="40" customHeight="1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M262" s="3"/>
      <c r="N262" s="3"/>
      <c r="O262" s="3"/>
      <c r="P262" s="3"/>
      <c r="R262" s="3"/>
    </row>
    <row r="263" spans="1:18" ht="40" customHeight="1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M263" s="3"/>
      <c r="N263" s="3"/>
      <c r="O263" s="3"/>
      <c r="P263" s="3"/>
      <c r="R263" s="3"/>
    </row>
    <row r="264" spans="1:18" ht="40" customHeight="1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M264" s="3"/>
      <c r="N264" s="3"/>
      <c r="O264" s="3"/>
      <c r="P264" s="3"/>
      <c r="R264" s="3"/>
    </row>
    <row r="265" spans="1:18" ht="40" customHeight="1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M265" s="3"/>
      <c r="N265" s="3"/>
      <c r="O265" s="3"/>
      <c r="P265" s="3"/>
      <c r="R265" s="3"/>
    </row>
    <row r="266" spans="1:18" ht="40" customHeight="1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M266" s="3"/>
      <c r="N266" s="3"/>
      <c r="O266" s="3"/>
      <c r="P266" s="3"/>
      <c r="R266" s="3"/>
    </row>
    <row r="267" spans="1:18" ht="40" customHeight="1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M267" s="3"/>
      <c r="N267" s="3"/>
      <c r="O267" s="3"/>
      <c r="P267" s="3"/>
      <c r="R267" s="3"/>
    </row>
    <row r="268" spans="1:18" ht="40" customHeight="1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M268" s="3"/>
      <c r="N268" s="3"/>
      <c r="O268" s="3"/>
      <c r="P268" s="3"/>
      <c r="R268" s="3"/>
    </row>
    <row r="269" spans="1:18" ht="40" customHeight="1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M269" s="3"/>
      <c r="N269" s="3"/>
      <c r="O269" s="3"/>
      <c r="P269" s="3"/>
      <c r="R269" s="3"/>
    </row>
    <row r="270" spans="1:18" ht="40" customHeight="1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M270" s="3"/>
      <c r="N270" s="3"/>
      <c r="O270" s="3"/>
      <c r="P270" s="3"/>
      <c r="R270" s="3"/>
    </row>
    <row r="271" spans="1:18" ht="40" customHeight="1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M271" s="3"/>
      <c r="N271" s="3"/>
      <c r="O271" s="3"/>
      <c r="P271" s="3"/>
      <c r="R271" s="3"/>
    </row>
    <row r="272" spans="1:18" ht="40" customHeight="1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M272" s="3"/>
      <c r="N272" s="3"/>
      <c r="O272" s="3"/>
      <c r="P272" s="3"/>
      <c r="R272" s="3"/>
    </row>
    <row r="273" spans="1:18" ht="40" customHeight="1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M273" s="3"/>
      <c r="N273" s="3"/>
      <c r="O273" s="3"/>
      <c r="P273" s="3"/>
      <c r="R273" s="3"/>
    </row>
    <row r="274" spans="1:18" ht="40" customHeight="1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M274" s="3"/>
      <c r="N274" s="3"/>
      <c r="O274" s="3"/>
      <c r="P274" s="3"/>
      <c r="R274" s="3"/>
    </row>
    <row r="275" spans="1:18" ht="40" customHeight="1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M275" s="3"/>
      <c r="N275" s="3"/>
      <c r="O275" s="3"/>
      <c r="P275" s="3"/>
      <c r="R275" s="3"/>
    </row>
    <row r="276" spans="1:18" ht="40" customHeight="1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M276" s="3"/>
      <c r="N276" s="3"/>
      <c r="O276" s="3"/>
      <c r="P276" s="3"/>
      <c r="R276" s="3"/>
    </row>
    <row r="277" spans="1:18" ht="40" customHeight="1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M277" s="3"/>
      <c r="N277" s="3"/>
      <c r="O277" s="3"/>
      <c r="P277" s="3"/>
      <c r="R277" s="3"/>
    </row>
    <row r="278" spans="1:18" ht="40" customHeight="1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M278" s="3"/>
      <c r="N278" s="3"/>
      <c r="O278" s="3"/>
      <c r="P278" s="3"/>
      <c r="R278" s="3"/>
    </row>
    <row r="279" spans="1:18" ht="40" customHeight="1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M279" s="3"/>
      <c r="N279" s="3"/>
      <c r="O279" s="3"/>
      <c r="P279" s="3"/>
      <c r="R279" s="3"/>
    </row>
    <row r="280" spans="1:18" ht="40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M280" s="3"/>
      <c r="N280" s="3"/>
      <c r="O280" s="3"/>
      <c r="P280" s="3"/>
      <c r="R280" s="3"/>
    </row>
    <row r="281" spans="1:18" ht="40" customHeight="1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M281" s="3"/>
      <c r="N281" s="3"/>
      <c r="O281" s="3"/>
      <c r="P281" s="3"/>
      <c r="R281" s="3"/>
    </row>
    <row r="282" spans="1:18" ht="40" customHeight="1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M282" s="3"/>
      <c r="N282" s="3"/>
      <c r="O282" s="3"/>
      <c r="P282" s="3"/>
      <c r="R282" s="3"/>
    </row>
    <row r="283" spans="1:18" ht="40" customHeight="1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M283" s="3"/>
      <c r="N283" s="3"/>
      <c r="O283" s="3"/>
      <c r="P283" s="3"/>
      <c r="R283" s="3"/>
    </row>
    <row r="284" spans="1:18" ht="40" customHeight="1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M284" s="3"/>
      <c r="N284" s="3"/>
      <c r="O284" s="3"/>
      <c r="P284" s="3"/>
      <c r="R284" s="3"/>
    </row>
    <row r="285" spans="1:18" ht="40" customHeight="1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M285" s="3"/>
      <c r="N285" s="3"/>
      <c r="O285" s="3"/>
      <c r="P285" s="3"/>
      <c r="R285" s="3"/>
    </row>
    <row r="286" spans="1:18" ht="40" customHeight="1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M286" s="3"/>
      <c r="N286" s="3"/>
      <c r="O286" s="3"/>
      <c r="P286" s="3"/>
      <c r="R286" s="3"/>
    </row>
    <row r="287" spans="1:18" ht="40" customHeight="1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M287" s="3"/>
      <c r="N287" s="3"/>
      <c r="O287" s="3"/>
      <c r="P287" s="3"/>
      <c r="R287" s="3"/>
    </row>
    <row r="288" spans="1:18" ht="40" customHeight="1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M288" s="3"/>
      <c r="N288" s="3"/>
      <c r="O288" s="3"/>
      <c r="P288" s="3"/>
      <c r="R288" s="3"/>
    </row>
    <row r="289" spans="1:18" ht="40" customHeight="1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M289" s="3"/>
      <c r="N289" s="3"/>
      <c r="O289" s="3"/>
      <c r="P289" s="3"/>
      <c r="R289" s="3"/>
    </row>
    <row r="290" spans="1:18" ht="40" customHeight="1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M290" s="3"/>
      <c r="N290" s="3"/>
      <c r="O290" s="3"/>
      <c r="P290" s="3"/>
      <c r="R290" s="3"/>
    </row>
    <row r="291" spans="1:18" ht="40" customHeight="1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M291" s="3"/>
      <c r="N291" s="3"/>
      <c r="O291" s="3"/>
      <c r="P291" s="3"/>
      <c r="R291" s="3"/>
    </row>
    <row r="292" spans="1:18" ht="40" customHeight="1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M292" s="3"/>
      <c r="N292" s="3"/>
      <c r="O292" s="3"/>
      <c r="P292" s="3"/>
      <c r="R292" s="3"/>
    </row>
    <row r="293" spans="1:18" ht="40" customHeight="1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M293" s="3"/>
      <c r="N293" s="3"/>
      <c r="O293" s="3"/>
      <c r="P293" s="3"/>
      <c r="R293" s="3"/>
    </row>
    <row r="294" spans="1:18" ht="40" customHeight="1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M294" s="3"/>
      <c r="N294" s="3"/>
      <c r="O294" s="3"/>
      <c r="P294" s="3"/>
      <c r="R294" s="3"/>
    </row>
    <row r="295" spans="1:18" ht="40" customHeight="1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M295" s="3"/>
      <c r="N295" s="3"/>
      <c r="O295" s="3"/>
      <c r="P295" s="3"/>
      <c r="R295" s="3"/>
    </row>
    <row r="296" spans="1:18" ht="40" customHeight="1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M296" s="3"/>
      <c r="N296" s="3"/>
      <c r="O296" s="3"/>
      <c r="P296" s="3"/>
      <c r="R296" s="3"/>
    </row>
    <row r="297" spans="1:18" ht="40" customHeight="1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M297" s="3"/>
      <c r="N297" s="3"/>
      <c r="O297" s="3"/>
      <c r="P297" s="3"/>
      <c r="R297" s="3"/>
    </row>
    <row r="298" spans="1:18" ht="40" customHeight="1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M298" s="3"/>
      <c r="N298" s="3"/>
      <c r="O298" s="3"/>
      <c r="P298" s="3"/>
      <c r="R298" s="3"/>
    </row>
    <row r="299" spans="1:18" ht="40" customHeight="1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M299" s="3"/>
      <c r="N299" s="3"/>
      <c r="O299" s="3"/>
      <c r="P299" s="3"/>
      <c r="R299" s="3"/>
    </row>
    <row r="300" spans="1:18" ht="40" customHeight="1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M300" s="3"/>
      <c r="N300" s="3"/>
      <c r="O300" s="3"/>
      <c r="P300" s="3"/>
      <c r="R300" s="3"/>
    </row>
    <row r="301" spans="1:18" ht="40" customHeight="1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M301" s="3"/>
      <c r="N301" s="3"/>
      <c r="O301" s="3"/>
      <c r="P301" s="3"/>
      <c r="R301" s="3"/>
    </row>
    <row r="302" spans="1:18" ht="40" customHeight="1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M302" s="3"/>
      <c r="N302" s="3"/>
      <c r="O302" s="3"/>
      <c r="P302" s="3"/>
      <c r="R302" s="3"/>
    </row>
    <row r="303" spans="1:18" ht="40" customHeight="1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M303" s="3"/>
      <c r="N303" s="3"/>
      <c r="O303" s="3"/>
      <c r="P303" s="3"/>
      <c r="R303" s="3"/>
    </row>
    <row r="304" spans="1:18" ht="40" customHeight="1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M304" s="3"/>
      <c r="N304" s="3"/>
      <c r="O304" s="3"/>
      <c r="P304" s="3"/>
      <c r="R304" s="3"/>
    </row>
    <row r="305" spans="1:18" ht="40" customHeight="1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M305" s="3"/>
      <c r="N305" s="3"/>
      <c r="O305" s="3"/>
      <c r="P305" s="3"/>
      <c r="R305" s="3"/>
    </row>
    <row r="306" spans="1:18" ht="40" customHeight="1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M306" s="3"/>
      <c r="N306" s="3"/>
      <c r="O306" s="3"/>
      <c r="P306" s="3"/>
      <c r="R306" s="3"/>
    </row>
    <row r="307" spans="1:18" ht="40" customHeight="1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M307" s="3"/>
      <c r="N307" s="3"/>
      <c r="O307" s="3"/>
      <c r="P307" s="3"/>
      <c r="R307" s="3"/>
    </row>
    <row r="308" spans="1:18" ht="40" customHeight="1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M308" s="3"/>
      <c r="N308" s="3"/>
      <c r="O308" s="3"/>
      <c r="P308" s="3"/>
      <c r="R308" s="3"/>
    </row>
    <row r="309" spans="1:18" ht="40" customHeight="1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M309" s="3"/>
      <c r="N309" s="3"/>
      <c r="O309" s="3"/>
      <c r="P309" s="3"/>
      <c r="R309" s="3"/>
    </row>
    <row r="310" spans="1:18" ht="40" customHeight="1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M310" s="3"/>
      <c r="N310" s="3"/>
      <c r="O310" s="3"/>
      <c r="P310" s="3"/>
      <c r="R310" s="3"/>
    </row>
    <row r="311" spans="1:18" ht="40" customHeight="1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M311" s="3"/>
      <c r="N311" s="3"/>
      <c r="O311" s="3"/>
      <c r="P311" s="3"/>
      <c r="R311" s="3"/>
    </row>
    <row r="312" spans="1:18" ht="40" customHeight="1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M312" s="3"/>
      <c r="N312" s="3"/>
      <c r="O312" s="3"/>
      <c r="P312" s="3"/>
      <c r="R312" s="3"/>
    </row>
    <row r="313" spans="1:18" ht="40" customHeight="1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M313" s="3"/>
      <c r="N313" s="3"/>
      <c r="O313" s="3"/>
      <c r="P313" s="3"/>
      <c r="R313" s="3"/>
    </row>
    <row r="314" spans="1:18" ht="40" customHeight="1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M314" s="3"/>
      <c r="N314" s="3"/>
      <c r="O314" s="3"/>
      <c r="P314" s="3"/>
      <c r="R314" s="3"/>
    </row>
    <row r="315" spans="1:18" ht="40" customHeight="1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M315" s="3"/>
      <c r="N315" s="3"/>
      <c r="O315" s="3"/>
      <c r="P315" s="3"/>
      <c r="R315" s="3"/>
    </row>
    <row r="316" spans="1:18" ht="40" customHeight="1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M316" s="3"/>
      <c r="N316" s="3"/>
      <c r="O316" s="3"/>
      <c r="P316" s="3"/>
      <c r="R316" s="3"/>
    </row>
    <row r="317" spans="1:18" ht="40" customHeight="1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M317" s="3"/>
      <c r="N317" s="3"/>
      <c r="O317" s="3"/>
      <c r="P317" s="3"/>
      <c r="R317" s="3"/>
    </row>
    <row r="318" spans="1:18" ht="40" customHeight="1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M318" s="3"/>
      <c r="N318" s="3"/>
      <c r="O318" s="3"/>
      <c r="P318" s="3"/>
      <c r="R318" s="3"/>
    </row>
    <row r="319" spans="1:18" ht="40" customHeight="1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M319" s="3"/>
      <c r="N319" s="3"/>
      <c r="O319" s="3"/>
      <c r="P319" s="3"/>
      <c r="R319" s="3"/>
    </row>
    <row r="320" spans="1:18" ht="40" customHeight="1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M320" s="3"/>
      <c r="N320" s="3"/>
      <c r="O320" s="3"/>
      <c r="P320" s="3"/>
      <c r="R320" s="3"/>
    </row>
    <row r="321" spans="1:18" ht="40" customHeight="1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M321" s="3"/>
      <c r="N321" s="3"/>
      <c r="O321" s="3"/>
      <c r="P321" s="3"/>
      <c r="R321" s="3"/>
    </row>
    <row r="322" spans="1:18" ht="40" customHeight="1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M322" s="3"/>
      <c r="N322" s="3"/>
      <c r="O322" s="3"/>
      <c r="P322" s="3"/>
      <c r="R322" s="3"/>
    </row>
    <row r="323" spans="1:18" ht="40" customHeight="1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M323" s="3"/>
      <c r="N323" s="3"/>
      <c r="O323" s="3"/>
      <c r="P323" s="3"/>
      <c r="R323" s="3"/>
    </row>
    <row r="324" spans="1:18" ht="40" customHeight="1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M324" s="3"/>
      <c r="N324" s="3"/>
      <c r="O324" s="3"/>
      <c r="P324" s="3"/>
      <c r="R324" s="3"/>
    </row>
    <row r="325" spans="1:18" ht="40" customHeight="1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M325" s="3"/>
      <c r="N325" s="3"/>
      <c r="O325" s="3"/>
      <c r="P325" s="3"/>
      <c r="R325" s="3"/>
    </row>
    <row r="326" spans="1:18" ht="40" customHeight="1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M326" s="3"/>
      <c r="N326" s="3"/>
      <c r="O326" s="3"/>
      <c r="P326" s="3"/>
      <c r="R326" s="3"/>
    </row>
    <row r="327" spans="1:18" ht="40" customHeight="1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M327" s="3"/>
      <c r="N327" s="3"/>
      <c r="O327" s="3"/>
      <c r="P327" s="3"/>
      <c r="R327" s="3"/>
    </row>
    <row r="328" spans="1:18" ht="40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M328" s="3"/>
      <c r="N328" s="3"/>
      <c r="O328" s="3"/>
      <c r="P328" s="3"/>
      <c r="R328" s="3"/>
    </row>
    <row r="329" spans="1:18" ht="40" customHeight="1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M329" s="3"/>
      <c r="N329" s="3"/>
      <c r="O329" s="3"/>
      <c r="P329" s="3"/>
      <c r="R329" s="3"/>
    </row>
    <row r="330" spans="1:18" ht="40" customHeight="1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M330" s="3"/>
      <c r="N330" s="3"/>
      <c r="O330" s="3"/>
      <c r="P330" s="3"/>
      <c r="R330" s="3"/>
    </row>
    <row r="331" spans="1:18" ht="40" customHeight="1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M331" s="3"/>
      <c r="N331" s="3"/>
      <c r="O331" s="3"/>
      <c r="P331" s="3"/>
      <c r="R331" s="3"/>
    </row>
    <row r="332" spans="1:18" ht="40" customHeight="1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M332" s="3"/>
      <c r="N332" s="3"/>
      <c r="O332" s="3"/>
      <c r="P332" s="3"/>
      <c r="R332" s="3"/>
    </row>
    <row r="333" spans="1:18" ht="40" customHeight="1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M333" s="3"/>
      <c r="N333" s="3"/>
      <c r="O333" s="3"/>
      <c r="P333" s="3"/>
      <c r="R333" s="3"/>
    </row>
    <row r="334" spans="1:18" ht="40" customHeight="1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M334" s="3"/>
      <c r="N334" s="3"/>
      <c r="O334" s="3"/>
      <c r="P334" s="3"/>
      <c r="R334" s="3"/>
    </row>
    <row r="335" spans="1:18" ht="40" customHeight="1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M335" s="3"/>
      <c r="N335" s="3"/>
      <c r="O335" s="3"/>
      <c r="P335" s="3"/>
      <c r="R335" s="3"/>
    </row>
    <row r="336" spans="1:18" ht="40" customHeight="1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M336" s="3"/>
      <c r="N336" s="3"/>
      <c r="O336" s="3"/>
      <c r="P336" s="3"/>
      <c r="R336" s="3"/>
    </row>
    <row r="337" spans="1:18" ht="40" customHeight="1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M337" s="3"/>
      <c r="N337" s="3"/>
      <c r="O337" s="3"/>
      <c r="P337" s="3"/>
      <c r="R337" s="3"/>
    </row>
    <row r="338" spans="1:18" ht="40" customHeight="1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M338" s="3"/>
      <c r="N338" s="3"/>
      <c r="O338" s="3"/>
      <c r="P338" s="3"/>
      <c r="R338" s="3"/>
    </row>
    <row r="339" spans="1:18" ht="40" customHeight="1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M339" s="3"/>
      <c r="N339" s="3"/>
      <c r="O339" s="3"/>
      <c r="P339" s="3"/>
      <c r="R339" s="3"/>
    </row>
    <row r="340" spans="1:18" ht="40" customHeight="1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M340" s="3"/>
      <c r="N340" s="3"/>
      <c r="O340" s="3"/>
      <c r="P340" s="3"/>
      <c r="R340" s="3"/>
    </row>
    <row r="341" spans="1:18" ht="40" customHeight="1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M341" s="3"/>
      <c r="N341" s="3"/>
      <c r="O341" s="3"/>
      <c r="P341" s="3"/>
      <c r="R341" s="3"/>
    </row>
    <row r="342" spans="1:18" ht="40" customHeight="1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M342" s="3"/>
      <c r="N342" s="3"/>
      <c r="O342" s="3"/>
      <c r="P342" s="3"/>
      <c r="R342" s="3"/>
    </row>
    <row r="343" spans="1:18" ht="40" customHeight="1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M343" s="3"/>
      <c r="N343" s="3"/>
      <c r="O343" s="3"/>
      <c r="P343" s="3"/>
      <c r="R343" s="3"/>
    </row>
    <row r="344" spans="1:18" ht="40" customHeight="1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M344" s="3"/>
      <c r="N344" s="3"/>
      <c r="O344" s="3"/>
      <c r="P344" s="3"/>
      <c r="R344" s="3"/>
    </row>
    <row r="345" spans="1:18" ht="40" customHeight="1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M345" s="3"/>
      <c r="N345" s="3"/>
      <c r="O345" s="3"/>
      <c r="P345" s="3"/>
      <c r="R345" s="3"/>
    </row>
    <row r="346" spans="1:18" ht="40" customHeight="1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M346" s="3"/>
      <c r="N346" s="3"/>
      <c r="O346" s="3"/>
      <c r="P346" s="3"/>
      <c r="R346" s="3"/>
    </row>
    <row r="347" spans="1:18" ht="40" customHeight="1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M347" s="3"/>
      <c r="N347" s="3"/>
      <c r="O347" s="3"/>
      <c r="P347" s="3"/>
      <c r="R347" s="3"/>
    </row>
    <row r="348" spans="1:18" ht="40" customHeight="1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M348" s="3"/>
      <c r="N348" s="3"/>
      <c r="O348" s="3"/>
      <c r="P348" s="3"/>
      <c r="R348" s="3"/>
    </row>
    <row r="349" spans="1:18" ht="40" customHeight="1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M349" s="3"/>
      <c r="N349" s="3"/>
      <c r="O349" s="3"/>
      <c r="P349" s="3"/>
      <c r="R349" s="3"/>
    </row>
    <row r="350" spans="1:18" ht="40" customHeight="1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M350" s="3"/>
      <c r="N350" s="3"/>
      <c r="O350" s="3"/>
      <c r="P350" s="3"/>
      <c r="R350" s="3"/>
    </row>
    <row r="351" spans="1:18" ht="40" customHeight="1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M351" s="3"/>
      <c r="N351" s="3"/>
      <c r="O351" s="3"/>
      <c r="P351" s="3"/>
      <c r="R351" s="3"/>
    </row>
    <row r="352" spans="1:18" ht="40" customHeight="1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M352" s="3"/>
      <c r="N352" s="3"/>
      <c r="O352" s="3"/>
      <c r="P352" s="3"/>
      <c r="R352" s="3"/>
    </row>
    <row r="353" spans="1:18" ht="40" customHeight="1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M353" s="3"/>
      <c r="N353" s="3"/>
      <c r="O353" s="3"/>
      <c r="P353" s="3"/>
      <c r="R353" s="3"/>
    </row>
    <row r="354" spans="1:18" ht="40" customHeight="1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M354" s="3"/>
      <c r="N354" s="3"/>
      <c r="O354" s="3"/>
      <c r="P354" s="3"/>
      <c r="R354" s="3"/>
    </row>
    <row r="355" spans="1:18" ht="40" customHeight="1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M355" s="3"/>
      <c r="N355" s="3"/>
      <c r="O355" s="3"/>
      <c r="P355" s="3"/>
      <c r="R355" s="3"/>
    </row>
    <row r="356" spans="1:18" ht="40" customHeight="1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M356" s="3"/>
      <c r="N356" s="3"/>
      <c r="O356" s="3"/>
      <c r="P356" s="3"/>
      <c r="R356" s="3"/>
    </row>
    <row r="357" spans="1:18" ht="40" customHeight="1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M357" s="3"/>
      <c r="N357" s="3"/>
      <c r="O357" s="3"/>
      <c r="P357" s="3"/>
      <c r="R357" s="3"/>
    </row>
    <row r="358" spans="1:18" ht="40" customHeight="1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M358" s="3"/>
      <c r="N358" s="3"/>
      <c r="O358" s="3"/>
      <c r="P358" s="3"/>
      <c r="R358" s="3"/>
    </row>
    <row r="359" spans="1:18" ht="40" customHeight="1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M359" s="3"/>
      <c r="N359" s="3"/>
      <c r="O359" s="3"/>
      <c r="P359" s="3"/>
      <c r="R359" s="3"/>
    </row>
    <row r="360" spans="1:18" ht="40" customHeight="1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M360" s="3"/>
      <c r="N360" s="3"/>
      <c r="O360" s="3"/>
      <c r="P360" s="3"/>
      <c r="R360" s="3"/>
    </row>
    <row r="361" spans="1:18" ht="40" customHeight="1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M361" s="3"/>
      <c r="N361" s="3"/>
      <c r="O361" s="3"/>
      <c r="P361" s="3"/>
      <c r="R361" s="3"/>
    </row>
    <row r="362" spans="1:18" ht="40" customHeight="1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M362" s="3"/>
      <c r="N362" s="3"/>
      <c r="O362" s="3"/>
      <c r="P362" s="3"/>
      <c r="R362" s="3"/>
    </row>
    <row r="363" spans="1:18" ht="40" customHeight="1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M363" s="3"/>
      <c r="N363" s="3"/>
      <c r="O363" s="3"/>
      <c r="P363" s="3"/>
      <c r="R363" s="3"/>
    </row>
    <row r="364" spans="1:18" ht="40" customHeight="1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M364" s="3"/>
      <c r="N364" s="3"/>
      <c r="O364" s="3"/>
      <c r="P364" s="3"/>
      <c r="R364" s="3"/>
    </row>
    <row r="365" spans="1:18" ht="40" customHeight="1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M365" s="3"/>
      <c r="N365" s="3"/>
      <c r="O365" s="3"/>
      <c r="P365" s="3"/>
      <c r="R365" s="3"/>
    </row>
    <row r="366" spans="1:18" ht="40" customHeight="1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M366" s="3"/>
      <c r="N366" s="3"/>
      <c r="O366" s="3"/>
      <c r="P366" s="3"/>
      <c r="R366" s="3"/>
    </row>
    <row r="367" spans="1:18" ht="40" customHeight="1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M367" s="3"/>
      <c r="N367" s="3"/>
      <c r="O367" s="3"/>
      <c r="P367" s="3"/>
      <c r="R367" s="3"/>
    </row>
    <row r="368" spans="1:18" ht="40" customHeight="1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M368" s="3"/>
      <c r="N368" s="3"/>
      <c r="O368" s="3"/>
      <c r="P368" s="3"/>
      <c r="R368" s="3"/>
    </row>
    <row r="369" spans="1:18" ht="40" customHeight="1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M369" s="3"/>
      <c r="N369" s="3"/>
      <c r="O369" s="3"/>
      <c r="P369" s="3"/>
      <c r="R369" s="3"/>
    </row>
    <row r="370" spans="1:18" ht="40" customHeight="1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M370" s="3"/>
      <c r="N370" s="3"/>
      <c r="O370" s="3"/>
      <c r="P370" s="3"/>
      <c r="R370" s="3"/>
    </row>
    <row r="371" spans="1:18" ht="40" customHeight="1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M371" s="3"/>
      <c r="N371" s="3"/>
      <c r="O371" s="3"/>
      <c r="P371" s="3"/>
      <c r="R371" s="3"/>
    </row>
    <row r="372" spans="1:18" ht="40" customHeight="1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M372" s="3"/>
      <c r="N372" s="3"/>
      <c r="O372" s="3"/>
      <c r="P372" s="3"/>
      <c r="R372" s="3"/>
    </row>
    <row r="373" spans="1:18" ht="40" customHeight="1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M373" s="3"/>
      <c r="N373" s="3"/>
      <c r="O373" s="3"/>
      <c r="P373" s="3"/>
      <c r="R373" s="3"/>
    </row>
    <row r="374" spans="1:18" ht="40" customHeight="1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M374" s="3"/>
      <c r="N374" s="3"/>
      <c r="O374" s="3"/>
      <c r="P374" s="3"/>
      <c r="R374" s="3"/>
    </row>
    <row r="375" spans="1:18" ht="40" customHeight="1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M375" s="3"/>
      <c r="N375" s="3"/>
      <c r="O375" s="3"/>
      <c r="P375" s="3"/>
      <c r="R375" s="3"/>
    </row>
    <row r="376" spans="1:18" ht="40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M376" s="3"/>
      <c r="N376" s="3"/>
      <c r="O376" s="3"/>
      <c r="P376" s="3"/>
      <c r="R376" s="3"/>
    </row>
    <row r="377" spans="1:18" ht="40" customHeight="1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M377" s="3"/>
      <c r="N377" s="3"/>
      <c r="O377" s="3"/>
      <c r="P377" s="3"/>
      <c r="R377" s="3"/>
    </row>
    <row r="378" spans="1:18" ht="40" customHeight="1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M378" s="3"/>
      <c r="N378" s="3"/>
      <c r="O378" s="3"/>
      <c r="P378" s="3"/>
      <c r="R378" s="3"/>
    </row>
    <row r="379" spans="1:18" ht="40" customHeight="1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M379" s="3"/>
      <c r="N379" s="3"/>
      <c r="O379" s="3"/>
      <c r="P379" s="3"/>
      <c r="R379" s="3"/>
    </row>
    <row r="380" spans="1:18" ht="40" customHeight="1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M380" s="3"/>
      <c r="N380" s="3"/>
      <c r="O380" s="3"/>
      <c r="P380" s="3"/>
      <c r="R380" s="3"/>
    </row>
    <row r="381" spans="1:18" ht="40" customHeight="1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M381" s="3"/>
      <c r="N381" s="3"/>
      <c r="O381" s="3"/>
      <c r="P381" s="3"/>
      <c r="R381" s="3"/>
    </row>
    <row r="382" spans="1:18" ht="40" customHeight="1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M382" s="3"/>
      <c r="N382" s="3"/>
      <c r="O382" s="3"/>
      <c r="P382" s="3"/>
      <c r="R382" s="3"/>
    </row>
    <row r="383" spans="1:18" ht="40" customHeight="1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M383" s="3"/>
      <c r="N383" s="3"/>
      <c r="O383" s="3"/>
      <c r="P383" s="3"/>
      <c r="R383" s="3"/>
    </row>
    <row r="384" spans="1:18" ht="40" customHeight="1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M384" s="3"/>
      <c r="N384" s="3"/>
      <c r="O384" s="3"/>
      <c r="P384" s="3"/>
      <c r="R384" s="3"/>
    </row>
    <row r="385" spans="1:18" ht="40" customHeight="1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M385" s="3"/>
      <c r="N385" s="3"/>
      <c r="O385" s="3"/>
      <c r="P385" s="3"/>
      <c r="R385" s="3"/>
    </row>
    <row r="386" spans="1:18" ht="40" customHeight="1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M386" s="3"/>
      <c r="N386" s="3"/>
      <c r="O386" s="3"/>
      <c r="P386" s="3"/>
      <c r="R386" s="3"/>
    </row>
    <row r="387" spans="1:18" ht="40" customHeight="1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M387" s="3"/>
      <c r="N387" s="3"/>
      <c r="O387" s="3"/>
      <c r="P387" s="3"/>
      <c r="R387" s="3"/>
    </row>
    <row r="388" spans="1:18" ht="40" customHeight="1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M388" s="3"/>
      <c r="N388" s="3"/>
      <c r="O388" s="3"/>
      <c r="P388" s="3"/>
      <c r="R388" s="3"/>
    </row>
    <row r="389" spans="1:18" ht="40" customHeight="1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M389" s="3"/>
      <c r="N389" s="3"/>
      <c r="O389" s="3"/>
      <c r="P389" s="3"/>
      <c r="R389" s="3"/>
    </row>
    <row r="390" spans="1:18" ht="40" customHeight="1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M390" s="3"/>
      <c r="N390" s="3"/>
      <c r="O390" s="3"/>
      <c r="P390" s="3"/>
      <c r="R390" s="3"/>
    </row>
    <row r="391" spans="1:18" ht="40" customHeight="1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M391" s="3"/>
      <c r="N391" s="3"/>
      <c r="O391" s="3"/>
      <c r="P391" s="3"/>
      <c r="R391" s="3"/>
    </row>
    <row r="392" spans="1:18" ht="40" customHeight="1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M392" s="3"/>
      <c r="N392" s="3"/>
      <c r="O392" s="3"/>
      <c r="P392" s="3"/>
      <c r="R392" s="3"/>
    </row>
    <row r="393" spans="1:18" ht="40" customHeight="1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M393" s="3"/>
      <c r="N393" s="3"/>
      <c r="O393" s="3"/>
      <c r="P393" s="3"/>
      <c r="R393" s="3"/>
    </row>
    <row r="394" spans="1:18" ht="40" customHeight="1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M394" s="3"/>
      <c r="N394" s="3"/>
      <c r="O394" s="3"/>
      <c r="P394" s="3"/>
      <c r="R394" s="3"/>
    </row>
    <row r="395" spans="1:18" ht="40" customHeight="1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M395" s="3"/>
      <c r="N395" s="3"/>
      <c r="O395" s="3"/>
      <c r="P395" s="3"/>
      <c r="R395" s="3"/>
    </row>
    <row r="396" spans="1:18" ht="40" customHeight="1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M396" s="3"/>
      <c r="N396" s="3"/>
      <c r="O396" s="3"/>
      <c r="P396" s="3"/>
      <c r="R396" s="3"/>
    </row>
    <row r="397" spans="1:18" ht="40" customHeight="1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M397" s="3"/>
      <c r="N397" s="3"/>
      <c r="O397" s="3"/>
      <c r="P397" s="3"/>
      <c r="R397" s="3"/>
    </row>
    <row r="398" spans="1:18" ht="40" customHeight="1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M398" s="3"/>
      <c r="N398" s="3"/>
      <c r="O398" s="3"/>
      <c r="P398" s="3"/>
      <c r="R398" s="3"/>
    </row>
    <row r="399" spans="1:18" ht="40" customHeight="1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M399" s="3"/>
      <c r="N399" s="3"/>
      <c r="O399" s="3"/>
      <c r="P399" s="3"/>
      <c r="R399" s="3"/>
    </row>
    <row r="400" spans="1:18" ht="40" customHeight="1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M400" s="3"/>
      <c r="N400" s="3"/>
      <c r="O400" s="3"/>
      <c r="P400" s="3"/>
      <c r="R400" s="3"/>
    </row>
    <row r="401" spans="1:18" ht="40" customHeight="1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M401" s="3"/>
      <c r="N401" s="3"/>
      <c r="O401" s="3"/>
      <c r="P401" s="3"/>
      <c r="R401" s="3"/>
    </row>
    <row r="402" spans="1:18" ht="40" customHeight="1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M402" s="3"/>
      <c r="N402" s="3"/>
      <c r="O402" s="3"/>
      <c r="P402" s="3"/>
      <c r="R402" s="3"/>
    </row>
    <row r="403" spans="1:18" ht="40" customHeight="1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M403" s="3"/>
      <c r="N403" s="3"/>
      <c r="O403" s="3"/>
      <c r="P403" s="3"/>
      <c r="R403" s="3"/>
    </row>
    <row r="404" spans="1:18" ht="40" customHeight="1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M404" s="3"/>
      <c r="N404" s="3"/>
      <c r="O404" s="3"/>
      <c r="P404" s="3"/>
      <c r="R404" s="3"/>
    </row>
    <row r="405" spans="1:18" ht="40" customHeight="1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M405" s="3"/>
      <c r="N405" s="3"/>
      <c r="O405" s="3"/>
      <c r="P405" s="3"/>
      <c r="R405" s="3"/>
    </row>
    <row r="406" spans="1:18" ht="40" customHeight="1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M406" s="3"/>
      <c r="N406" s="3"/>
      <c r="O406" s="3"/>
      <c r="P406" s="3"/>
      <c r="R406" s="3"/>
    </row>
    <row r="407" spans="1:18" ht="40" customHeight="1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M407" s="3"/>
      <c r="N407" s="3"/>
      <c r="O407" s="3"/>
      <c r="P407" s="3"/>
      <c r="R407" s="3"/>
    </row>
    <row r="408" spans="1:18" ht="40" customHeight="1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M408" s="3"/>
      <c r="N408" s="3"/>
      <c r="O408" s="3"/>
      <c r="P408" s="3"/>
      <c r="R408" s="3"/>
    </row>
    <row r="409" spans="1:18" ht="40" customHeight="1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M409" s="3"/>
      <c r="N409" s="3"/>
      <c r="O409" s="3"/>
      <c r="P409" s="3"/>
      <c r="R409" s="3"/>
    </row>
    <row r="410" spans="1:18" ht="40" customHeight="1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M410" s="3"/>
      <c r="N410" s="3"/>
      <c r="O410" s="3"/>
      <c r="P410" s="3"/>
      <c r="R410" s="3"/>
    </row>
    <row r="411" spans="1:18" ht="40" customHeight="1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M411" s="3"/>
      <c r="N411" s="3"/>
      <c r="O411" s="3"/>
      <c r="P411" s="3"/>
      <c r="R411" s="3"/>
    </row>
    <row r="412" spans="1:18" ht="40" customHeight="1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M412" s="3"/>
      <c r="N412" s="3"/>
      <c r="O412" s="3"/>
      <c r="P412" s="3"/>
      <c r="R412" s="3"/>
    </row>
    <row r="413" spans="1:18" ht="40" customHeight="1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M413" s="3"/>
      <c r="N413" s="3"/>
      <c r="O413" s="3"/>
      <c r="P413" s="3"/>
      <c r="R413" s="3"/>
    </row>
    <row r="414" spans="1:18" ht="40" customHeight="1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M414" s="3"/>
      <c r="N414" s="3"/>
      <c r="O414" s="3"/>
      <c r="P414" s="3"/>
      <c r="R414" s="3"/>
    </row>
    <row r="415" spans="1:18" ht="40" customHeight="1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M415" s="3"/>
      <c r="N415" s="3"/>
      <c r="O415" s="3"/>
      <c r="P415" s="3"/>
      <c r="R415" s="3"/>
    </row>
    <row r="416" spans="1:18" ht="40" customHeight="1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M416" s="3"/>
      <c r="N416" s="3"/>
      <c r="O416" s="3"/>
      <c r="P416" s="3"/>
      <c r="R416" s="3"/>
    </row>
    <row r="417" spans="1:18" ht="40" customHeight="1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M417" s="3"/>
      <c r="N417" s="3"/>
      <c r="O417" s="3"/>
      <c r="P417" s="3"/>
      <c r="R417" s="3"/>
    </row>
    <row r="418" spans="1:18" ht="40" customHeight="1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M418" s="3"/>
      <c r="N418" s="3"/>
      <c r="O418" s="3"/>
      <c r="P418" s="3"/>
      <c r="R418" s="3"/>
    </row>
    <row r="419" spans="1:18" ht="40" customHeight="1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M419" s="3"/>
      <c r="N419" s="3"/>
      <c r="O419" s="3"/>
      <c r="P419" s="3"/>
      <c r="R419" s="3"/>
    </row>
    <row r="420" spans="1:18" ht="40" customHeight="1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M420" s="3"/>
      <c r="N420" s="3"/>
      <c r="O420" s="3"/>
      <c r="P420" s="3"/>
      <c r="R420" s="3"/>
    </row>
    <row r="421" spans="1:18" ht="40" customHeight="1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M421" s="3"/>
      <c r="N421" s="3"/>
      <c r="O421" s="3"/>
      <c r="P421" s="3"/>
      <c r="R421" s="3"/>
    </row>
    <row r="422" spans="1:18" ht="40" customHeight="1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M422" s="3"/>
      <c r="N422" s="3"/>
      <c r="O422" s="3"/>
      <c r="P422" s="3"/>
      <c r="R422" s="3"/>
    </row>
    <row r="423" spans="1:18" ht="40" customHeight="1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M423" s="3"/>
      <c r="N423" s="3"/>
      <c r="O423" s="3"/>
      <c r="P423" s="3"/>
      <c r="R423" s="3"/>
    </row>
    <row r="424" spans="1:18" ht="40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M424" s="3"/>
      <c r="N424" s="3"/>
      <c r="O424" s="3"/>
      <c r="P424" s="3"/>
      <c r="R424" s="3"/>
    </row>
    <row r="425" spans="1:18" ht="40" customHeight="1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M425" s="3"/>
      <c r="N425" s="3"/>
      <c r="O425" s="3"/>
      <c r="P425" s="3"/>
      <c r="R425" s="3"/>
    </row>
    <row r="426" spans="1:18" ht="40" customHeight="1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M426" s="3"/>
      <c r="N426" s="3"/>
      <c r="O426" s="3"/>
      <c r="P426" s="3"/>
      <c r="R426" s="3"/>
    </row>
    <row r="427" spans="1:18" ht="40" customHeight="1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M427" s="3"/>
      <c r="N427" s="3"/>
      <c r="O427" s="3"/>
      <c r="P427" s="3"/>
      <c r="R427" s="3"/>
    </row>
    <row r="428" spans="1:18" ht="40" customHeight="1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M428" s="3"/>
      <c r="N428" s="3"/>
      <c r="O428" s="3"/>
      <c r="P428" s="3"/>
      <c r="R428" s="3"/>
    </row>
    <row r="429" spans="1:18" ht="40" customHeight="1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M429" s="3"/>
      <c r="N429" s="3"/>
      <c r="O429" s="3"/>
      <c r="P429" s="3"/>
      <c r="R429" s="3"/>
    </row>
    <row r="430" spans="1:18" ht="40" customHeight="1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M430" s="3"/>
      <c r="N430" s="3"/>
      <c r="O430" s="3"/>
      <c r="P430" s="3"/>
      <c r="R430" s="3"/>
    </row>
    <row r="431" spans="1:18" ht="40" customHeight="1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M431" s="3"/>
      <c r="N431" s="3"/>
      <c r="O431" s="3"/>
      <c r="P431" s="3"/>
      <c r="R431" s="3"/>
    </row>
    <row r="432" spans="1:18" ht="40" customHeight="1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M432" s="3"/>
      <c r="N432" s="3"/>
      <c r="O432" s="3"/>
      <c r="P432" s="3"/>
      <c r="R432" s="3"/>
    </row>
    <row r="433" spans="1:18" ht="40" customHeight="1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M433" s="3"/>
      <c r="N433" s="3"/>
      <c r="O433" s="3"/>
      <c r="P433" s="3"/>
      <c r="R433" s="3"/>
    </row>
    <row r="434" spans="1:18" ht="40" customHeight="1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M434" s="3"/>
      <c r="N434" s="3"/>
      <c r="O434" s="3"/>
      <c r="P434" s="3"/>
      <c r="R434" s="3"/>
    </row>
    <row r="435" spans="1:18" ht="40" customHeight="1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M435" s="3"/>
      <c r="N435" s="3"/>
      <c r="O435" s="3"/>
      <c r="P435" s="3"/>
      <c r="R435" s="3"/>
    </row>
    <row r="436" spans="1:18" ht="40" customHeight="1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M436" s="3"/>
      <c r="N436" s="3"/>
      <c r="O436" s="3"/>
      <c r="P436" s="3"/>
      <c r="R436" s="3"/>
    </row>
    <row r="437" spans="1:18" ht="40" customHeight="1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M437" s="3"/>
      <c r="N437" s="3"/>
      <c r="O437" s="3"/>
      <c r="P437" s="3"/>
      <c r="R437" s="3"/>
    </row>
    <row r="438" spans="1:18" ht="40" customHeight="1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M438" s="3"/>
      <c r="N438" s="3"/>
      <c r="O438" s="3"/>
      <c r="P438" s="3"/>
      <c r="R438" s="3"/>
    </row>
    <row r="439" spans="1:18" ht="40" customHeight="1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M439" s="3"/>
      <c r="N439" s="3"/>
      <c r="O439" s="3"/>
      <c r="P439" s="3"/>
      <c r="R439" s="3"/>
    </row>
    <row r="440" spans="1:18" ht="40" customHeight="1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M440" s="3"/>
      <c r="N440" s="3"/>
      <c r="O440" s="3"/>
      <c r="P440" s="3"/>
      <c r="R440" s="3"/>
    </row>
    <row r="441" spans="1:18" ht="40" customHeight="1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M441" s="3"/>
      <c r="N441" s="3"/>
      <c r="O441" s="3"/>
      <c r="P441" s="3"/>
      <c r="R441" s="3"/>
    </row>
    <row r="442" spans="1:18" ht="40" customHeight="1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M442" s="3"/>
      <c r="N442" s="3"/>
      <c r="O442" s="3"/>
      <c r="P442" s="3"/>
      <c r="R442" s="3"/>
    </row>
    <row r="443" spans="1:18" ht="40" customHeight="1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M443" s="3"/>
      <c r="N443" s="3"/>
      <c r="O443" s="3"/>
      <c r="P443" s="3"/>
      <c r="R443" s="3"/>
    </row>
    <row r="444" spans="1:18" ht="40" customHeight="1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M444" s="3"/>
      <c r="N444" s="3"/>
      <c r="O444" s="3"/>
      <c r="P444" s="3"/>
      <c r="R444" s="3"/>
    </row>
    <row r="445" spans="1:18" ht="40" customHeight="1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M445" s="3"/>
      <c r="N445" s="3"/>
      <c r="O445" s="3"/>
      <c r="P445" s="3"/>
      <c r="R445" s="3"/>
    </row>
    <row r="446" spans="1:18" ht="40" customHeight="1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M446" s="3"/>
      <c r="N446" s="3"/>
      <c r="O446" s="3"/>
      <c r="P446" s="3"/>
      <c r="R446" s="3"/>
    </row>
    <row r="447" spans="1:18" ht="40" customHeight="1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M447" s="3"/>
      <c r="N447" s="3"/>
      <c r="O447" s="3"/>
      <c r="P447" s="3"/>
      <c r="R447" s="3"/>
    </row>
    <row r="448" spans="1:18" ht="40" customHeight="1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M448" s="3"/>
      <c r="N448" s="3"/>
      <c r="O448" s="3"/>
      <c r="P448" s="3"/>
      <c r="R448" s="3"/>
    </row>
    <row r="449" spans="1:18" ht="40" customHeight="1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M449" s="3"/>
      <c r="N449" s="3"/>
      <c r="O449" s="3"/>
      <c r="P449" s="3"/>
      <c r="R449" s="3"/>
    </row>
    <row r="450" spans="1:18" ht="40" customHeight="1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M450" s="3"/>
      <c r="N450" s="3"/>
      <c r="O450" s="3"/>
      <c r="P450" s="3"/>
      <c r="R450" s="3"/>
    </row>
    <row r="451" spans="1:18" ht="40" customHeight="1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M451" s="3"/>
      <c r="N451" s="3"/>
      <c r="O451" s="3"/>
      <c r="P451" s="3"/>
      <c r="R451" s="3"/>
    </row>
    <row r="452" spans="1:18" ht="40" customHeight="1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M452" s="3"/>
      <c r="N452" s="3"/>
      <c r="O452" s="3"/>
      <c r="P452" s="3"/>
      <c r="R452" s="3"/>
    </row>
    <row r="453" spans="1:18" ht="40" customHeight="1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M453" s="3"/>
      <c r="N453" s="3"/>
      <c r="O453" s="3"/>
      <c r="P453" s="3"/>
      <c r="R453" s="3"/>
    </row>
    <row r="454" spans="1:18" ht="40" customHeight="1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M454" s="3"/>
      <c r="N454" s="3"/>
      <c r="O454" s="3"/>
      <c r="P454" s="3"/>
      <c r="R454" s="3"/>
    </row>
    <row r="455" spans="1:18" ht="40" customHeight="1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M455" s="3"/>
      <c r="N455" s="3"/>
      <c r="O455" s="3"/>
      <c r="P455" s="3"/>
      <c r="R455" s="3"/>
    </row>
    <row r="456" spans="1:18" ht="40" customHeight="1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M456" s="3"/>
      <c r="N456" s="3"/>
      <c r="O456" s="3"/>
      <c r="P456" s="3"/>
      <c r="R456" s="3"/>
    </row>
    <row r="457" spans="1:18" ht="40" customHeight="1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M457" s="3"/>
      <c r="N457" s="3"/>
      <c r="O457" s="3"/>
      <c r="P457" s="3"/>
      <c r="R457" s="3"/>
    </row>
    <row r="458" spans="1:18" ht="40" customHeight="1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M458" s="3"/>
      <c r="N458" s="3"/>
      <c r="O458" s="3"/>
      <c r="P458" s="3"/>
      <c r="R458" s="3"/>
    </row>
    <row r="459" spans="1:18" ht="40" customHeight="1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M459" s="3"/>
      <c r="N459" s="3"/>
      <c r="O459" s="3"/>
      <c r="P459" s="3"/>
      <c r="R459" s="3"/>
    </row>
    <row r="460" spans="1:18" ht="40" customHeight="1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M460" s="3"/>
      <c r="N460" s="3"/>
      <c r="O460" s="3"/>
      <c r="P460" s="3"/>
      <c r="R460" s="3"/>
    </row>
    <row r="461" spans="1:18" ht="40" customHeight="1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M461" s="3"/>
      <c r="N461" s="3"/>
      <c r="O461" s="3"/>
      <c r="P461" s="3"/>
      <c r="R461" s="3"/>
    </row>
    <row r="462" spans="1:18" ht="40" customHeight="1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M462" s="3"/>
      <c r="N462" s="3"/>
      <c r="O462" s="3"/>
      <c r="P462" s="3"/>
      <c r="R462" s="3"/>
    </row>
    <row r="463" spans="1:18" ht="40" customHeight="1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M463" s="3"/>
      <c r="N463" s="3"/>
      <c r="O463" s="3"/>
      <c r="P463" s="3"/>
      <c r="R463" s="3"/>
    </row>
    <row r="464" spans="1:18" ht="40" customHeight="1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M464" s="3"/>
      <c r="N464" s="3"/>
      <c r="O464" s="3"/>
      <c r="P464" s="3"/>
      <c r="R464" s="3"/>
    </row>
    <row r="465" spans="1:18" ht="40" customHeight="1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M465" s="3"/>
      <c r="N465" s="3"/>
      <c r="O465" s="3"/>
      <c r="P465" s="3"/>
      <c r="R465" s="3"/>
    </row>
    <row r="466" spans="1:18" ht="40" customHeight="1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M466" s="3"/>
      <c r="N466" s="3"/>
      <c r="O466" s="3"/>
      <c r="P466" s="3"/>
      <c r="R466" s="3"/>
    </row>
    <row r="467" spans="1:18" ht="40" customHeight="1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M467" s="3"/>
      <c r="N467" s="3"/>
      <c r="O467" s="3"/>
      <c r="P467" s="3"/>
      <c r="R467" s="3"/>
    </row>
    <row r="468" spans="1:18" ht="40" customHeight="1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M468" s="3"/>
      <c r="N468" s="3"/>
      <c r="O468" s="3"/>
      <c r="P468" s="3"/>
      <c r="R468" s="3"/>
    </row>
    <row r="469" spans="1:18" ht="40" customHeight="1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M469" s="3"/>
      <c r="N469" s="3"/>
      <c r="O469" s="3"/>
      <c r="P469" s="3"/>
      <c r="R469" s="3"/>
    </row>
    <row r="470" spans="1:18" ht="40" customHeight="1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M470" s="3"/>
      <c r="N470" s="3"/>
      <c r="O470" s="3"/>
      <c r="P470" s="3"/>
      <c r="R470" s="3"/>
    </row>
    <row r="471" spans="1:18" ht="40" customHeight="1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M471" s="3"/>
      <c r="N471" s="3"/>
      <c r="O471" s="3"/>
      <c r="P471" s="3"/>
      <c r="R471" s="3"/>
    </row>
    <row r="472" spans="1:18" ht="40" customHeight="1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M472" s="3"/>
      <c r="N472" s="3"/>
      <c r="O472" s="3"/>
      <c r="P472" s="3"/>
      <c r="R472" s="3"/>
    </row>
    <row r="473" spans="1:18" ht="40" customHeight="1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M473" s="3"/>
      <c r="N473" s="3"/>
      <c r="O473" s="3"/>
      <c r="P473" s="3"/>
      <c r="R473" s="3"/>
    </row>
    <row r="474" spans="1:18" ht="40" customHeight="1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M474" s="3"/>
      <c r="N474" s="3"/>
      <c r="O474" s="3"/>
      <c r="P474" s="3"/>
      <c r="R474" s="3"/>
    </row>
    <row r="475" spans="1:18" ht="40" customHeight="1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M475" s="3"/>
      <c r="N475" s="3"/>
      <c r="O475" s="3"/>
      <c r="P475" s="3"/>
      <c r="R475" s="3"/>
    </row>
    <row r="476" spans="1:18" ht="40" customHeight="1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M476" s="3"/>
      <c r="N476" s="3"/>
      <c r="O476" s="3"/>
      <c r="P476" s="3"/>
      <c r="R476" s="3"/>
    </row>
    <row r="477" spans="1:18" ht="40" customHeight="1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M477" s="3"/>
      <c r="N477" s="3"/>
      <c r="O477" s="3"/>
      <c r="P477" s="3"/>
      <c r="R477" s="3"/>
    </row>
    <row r="478" spans="1:18" ht="40" customHeight="1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M478" s="3"/>
      <c r="N478" s="3"/>
      <c r="O478" s="3"/>
      <c r="P478" s="3"/>
      <c r="R478" s="3"/>
    </row>
    <row r="479" spans="1:18" ht="40" customHeight="1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M479" s="3"/>
      <c r="N479" s="3"/>
      <c r="O479" s="3"/>
      <c r="P479" s="3"/>
      <c r="R479" s="3"/>
    </row>
    <row r="480" spans="1:18" ht="40" customHeight="1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M480" s="3"/>
      <c r="N480" s="3"/>
      <c r="O480" s="3"/>
      <c r="P480" s="3"/>
      <c r="R480" s="3"/>
    </row>
    <row r="481" spans="1:18" ht="40" customHeight="1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M481" s="3"/>
      <c r="N481" s="3"/>
      <c r="O481" s="3"/>
      <c r="P481" s="3"/>
      <c r="R481" s="3"/>
    </row>
    <row r="482" spans="1:18" ht="40" customHeight="1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M482" s="3"/>
      <c r="N482" s="3"/>
      <c r="O482" s="3"/>
      <c r="P482" s="3"/>
      <c r="R482" s="3"/>
    </row>
    <row r="483" spans="1:18" ht="40" customHeight="1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M483" s="3"/>
      <c r="N483" s="3"/>
      <c r="O483" s="3"/>
      <c r="P483" s="3"/>
      <c r="R483" s="3"/>
    </row>
    <row r="484" spans="1:18" ht="40" customHeight="1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M484" s="3"/>
      <c r="N484" s="3"/>
      <c r="O484" s="3"/>
      <c r="P484" s="3"/>
      <c r="R484" s="3"/>
    </row>
    <row r="485" spans="1:18" ht="40" customHeight="1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M485" s="3"/>
      <c r="N485" s="3"/>
      <c r="O485" s="3"/>
      <c r="P485" s="3"/>
      <c r="R485" s="3"/>
    </row>
    <row r="486" spans="1:18" ht="40" customHeight="1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M486" s="3"/>
      <c r="N486" s="3"/>
      <c r="O486" s="3"/>
      <c r="P486" s="3"/>
      <c r="R486" s="3"/>
    </row>
    <row r="487" spans="1:18" ht="40" customHeight="1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M487" s="3"/>
      <c r="N487" s="3"/>
      <c r="O487" s="3"/>
      <c r="P487" s="3"/>
      <c r="R487" s="3"/>
    </row>
    <row r="488" spans="1:18" ht="40" customHeight="1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M488" s="3"/>
      <c r="N488" s="3"/>
      <c r="O488" s="3"/>
      <c r="P488" s="3"/>
      <c r="R488" s="3"/>
    </row>
    <row r="489" spans="1:18" ht="40" customHeight="1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M489" s="3"/>
      <c r="N489" s="3"/>
      <c r="O489" s="3"/>
      <c r="P489" s="3"/>
      <c r="R489" s="3"/>
    </row>
    <row r="490" spans="1:18" ht="40" customHeight="1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M490" s="3"/>
      <c r="N490" s="3"/>
      <c r="O490" s="3"/>
      <c r="P490" s="3"/>
      <c r="R490" s="3"/>
    </row>
    <row r="491" spans="1:18" ht="40" customHeight="1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M491" s="3"/>
      <c r="N491" s="3"/>
      <c r="O491" s="3"/>
      <c r="P491" s="3"/>
      <c r="R491" s="3"/>
    </row>
    <row r="492" spans="1:18" ht="40" customHeight="1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M492" s="3"/>
      <c r="N492" s="3"/>
      <c r="O492" s="3"/>
      <c r="P492" s="3"/>
      <c r="R492" s="3"/>
    </row>
    <row r="493" spans="1:18" ht="40" customHeight="1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M493" s="3"/>
      <c r="N493" s="3"/>
      <c r="O493" s="3"/>
      <c r="P493" s="3"/>
      <c r="R493" s="3"/>
    </row>
    <row r="494" spans="1:18" ht="40" customHeight="1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M494" s="3"/>
      <c r="N494" s="3"/>
      <c r="O494" s="3"/>
      <c r="P494" s="3"/>
      <c r="R494" s="3"/>
    </row>
    <row r="495" spans="1:18" ht="40" customHeight="1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M495" s="3"/>
      <c r="N495" s="3"/>
      <c r="O495" s="3"/>
      <c r="P495" s="3"/>
      <c r="R495" s="3"/>
    </row>
    <row r="496" spans="1:18" ht="40" customHeight="1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M496" s="3"/>
      <c r="N496" s="3"/>
      <c r="O496" s="3"/>
      <c r="P496" s="3"/>
      <c r="R496" s="3"/>
    </row>
    <row r="497" spans="1:18" ht="40" customHeight="1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M497" s="3"/>
      <c r="N497" s="3"/>
      <c r="O497" s="3"/>
      <c r="P497" s="3"/>
      <c r="R497" s="3"/>
    </row>
    <row r="498" spans="1:18" ht="40" customHeight="1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M498" s="3"/>
      <c r="N498" s="3"/>
      <c r="O498" s="3"/>
      <c r="P498" s="3"/>
      <c r="R498" s="3"/>
    </row>
    <row r="499" spans="1:18" ht="40" customHeight="1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M499" s="3"/>
      <c r="N499" s="3"/>
      <c r="O499" s="3"/>
      <c r="P499" s="3"/>
      <c r="R499" s="3"/>
    </row>
    <row r="500" spans="1:18" ht="40" customHeight="1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M500" s="3"/>
      <c r="N500" s="3"/>
      <c r="O500" s="3"/>
      <c r="P500" s="3"/>
      <c r="R500" s="3"/>
    </row>
    <row r="501" spans="1:18" ht="40" customHeight="1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M501" s="3"/>
      <c r="N501" s="3"/>
      <c r="O501" s="3"/>
      <c r="P501" s="3"/>
      <c r="R501" s="3"/>
    </row>
    <row r="502" spans="1:18" ht="40" customHeight="1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M502" s="3"/>
      <c r="N502" s="3"/>
      <c r="O502" s="3"/>
      <c r="P502" s="3"/>
      <c r="R502" s="3"/>
    </row>
    <row r="503" spans="1:18" ht="40" customHeight="1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M503" s="3"/>
      <c r="N503" s="3"/>
      <c r="O503" s="3"/>
      <c r="P503" s="3"/>
      <c r="R503" s="3"/>
    </row>
    <row r="504" spans="1:18" ht="40" customHeight="1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M504" s="3"/>
      <c r="N504" s="3"/>
      <c r="O504" s="3"/>
      <c r="P504" s="3"/>
      <c r="R504" s="3"/>
    </row>
    <row r="505" spans="1:18" ht="40" customHeight="1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M505" s="3"/>
      <c r="N505" s="3"/>
      <c r="O505" s="3"/>
      <c r="P505" s="3"/>
      <c r="R505" s="3"/>
    </row>
    <row r="506" spans="1:18" ht="40" customHeight="1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M506" s="3"/>
      <c r="N506" s="3"/>
      <c r="O506" s="3"/>
      <c r="P506" s="3"/>
      <c r="R506" s="3"/>
    </row>
    <row r="507" spans="1:18" ht="40" customHeight="1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M507" s="3"/>
      <c r="N507" s="3"/>
      <c r="O507" s="3"/>
      <c r="P507" s="3"/>
      <c r="R507" s="3"/>
    </row>
    <row r="508" spans="1:18" ht="40" customHeight="1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M508" s="3"/>
      <c r="N508" s="3"/>
      <c r="O508" s="3"/>
      <c r="P508" s="3"/>
      <c r="R508" s="3"/>
    </row>
    <row r="509" spans="1:18" ht="40" customHeight="1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M509" s="3"/>
      <c r="N509" s="3"/>
      <c r="O509" s="3"/>
      <c r="P509" s="3"/>
      <c r="R509" s="3"/>
    </row>
    <row r="510" spans="1:18" ht="40" customHeight="1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M510" s="3"/>
      <c r="N510" s="3"/>
      <c r="O510" s="3"/>
      <c r="P510" s="3"/>
      <c r="R510" s="3"/>
    </row>
    <row r="511" spans="1:18" ht="40" customHeight="1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M511" s="3"/>
      <c r="N511" s="3"/>
      <c r="O511" s="3"/>
      <c r="P511" s="3"/>
      <c r="R511" s="3"/>
    </row>
    <row r="512" spans="1:18" ht="40" customHeight="1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M512" s="3"/>
      <c r="N512" s="3"/>
      <c r="O512" s="3"/>
      <c r="P512" s="3"/>
      <c r="R512" s="3"/>
    </row>
    <row r="513" spans="1:18" ht="40" customHeight="1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M513" s="3"/>
      <c r="N513" s="3"/>
      <c r="O513" s="3"/>
      <c r="P513" s="3"/>
      <c r="R513" s="3"/>
    </row>
    <row r="514" spans="1:18" ht="40" customHeight="1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M514" s="3"/>
      <c r="N514" s="3"/>
      <c r="O514" s="3"/>
      <c r="P514" s="3"/>
      <c r="R514" s="3"/>
    </row>
    <row r="515" spans="1:18" ht="40" customHeight="1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M515" s="3"/>
      <c r="N515" s="3"/>
      <c r="O515" s="3"/>
      <c r="P515" s="3"/>
      <c r="R515" s="3"/>
    </row>
    <row r="516" spans="1:18" ht="40" customHeight="1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M516" s="3"/>
      <c r="N516" s="3"/>
      <c r="O516" s="3"/>
      <c r="P516" s="3"/>
      <c r="R516" s="3"/>
    </row>
    <row r="517" spans="1:18" ht="40" customHeight="1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M517" s="3"/>
      <c r="N517" s="3"/>
      <c r="O517" s="3"/>
      <c r="P517" s="3"/>
      <c r="R517" s="3"/>
    </row>
    <row r="518" spans="1:18" ht="40" customHeight="1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M518" s="3"/>
      <c r="N518" s="3"/>
      <c r="O518" s="3"/>
      <c r="P518" s="3"/>
      <c r="R518" s="3"/>
    </row>
    <row r="519" spans="1:18" ht="40" customHeight="1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M519" s="3"/>
      <c r="N519" s="3"/>
      <c r="O519" s="3"/>
      <c r="P519" s="3"/>
      <c r="R519" s="3"/>
    </row>
    <row r="520" spans="1:18" ht="40" customHeight="1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M520" s="3"/>
      <c r="N520" s="3"/>
      <c r="O520" s="3"/>
      <c r="P520" s="3"/>
      <c r="R520" s="3"/>
    </row>
    <row r="521" spans="1:18" ht="40" customHeight="1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M521" s="3"/>
      <c r="N521" s="3"/>
      <c r="O521" s="3"/>
      <c r="P521" s="3"/>
      <c r="R521" s="3"/>
    </row>
    <row r="522" spans="1:18" ht="40" customHeight="1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M522" s="3"/>
      <c r="N522" s="3"/>
      <c r="O522" s="3"/>
      <c r="P522" s="3"/>
      <c r="R522" s="3"/>
    </row>
    <row r="523" spans="1:18" ht="40" customHeight="1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M523" s="3"/>
      <c r="N523" s="3"/>
      <c r="O523" s="3"/>
      <c r="P523" s="3"/>
      <c r="R523" s="3"/>
    </row>
    <row r="524" spans="1:18" ht="40" customHeight="1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M524" s="3"/>
      <c r="N524" s="3"/>
      <c r="O524" s="3"/>
      <c r="P524" s="3"/>
      <c r="R524" s="3"/>
    </row>
    <row r="525" spans="1:18" ht="40" customHeight="1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M525" s="3"/>
      <c r="N525" s="3"/>
      <c r="O525" s="3"/>
      <c r="P525" s="3"/>
      <c r="R525" s="3"/>
    </row>
    <row r="526" spans="1:18" ht="40" customHeight="1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M526" s="3"/>
      <c r="N526" s="3"/>
      <c r="O526" s="3"/>
      <c r="P526" s="3"/>
      <c r="R526" s="3"/>
    </row>
    <row r="527" spans="1:18" ht="40" customHeight="1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M527" s="3"/>
      <c r="N527" s="3"/>
      <c r="O527" s="3"/>
      <c r="P527" s="3"/>
      <c r="R527" s="3"/>
    </row>
    <row r="528" spans="1:18" ht="40" customHeight="1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M528" s="3"/>
      <c r="N528" s="3"/>
      <c r="O528" s="3"/>
      <c r="P528" s="3"/>
      <c r="R528" s="3"/>
    </row>
    <row r="529" spans="1:18" ht="40" customHeight="1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M529" s="3"/>
      <c r="N529" s="3"/>
      <c r="O529" s="3"/>
      <c r="P529" s="3"/>
      <c r="R529" s="3"/>
    </row>
    <row r="530" spans="1:18" ht="40" customHeight="1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M530" s="3"/>
      <c r="N530" s="3"/>
      <c r="O530" s="3"/>
      <c r="P530" s="3"/>
      <c r="R530" s="3"/>
    </row>
    <row r="531" spans="1:18" ht="40" customHeight="1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M531" s="3"/>
      <c r="N531" s="3"/>
      <c r="O531" s="3"/>
      <c r="P531" s="3"/>
      <c r="R531" s="3"/>
    </row>
    <row r="532" spans="1:18" ht="40" customHeight="1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M532" s="3"/>
      <c r="N532" s="3"/>
      <c r="O532" s="3"/>
      <c r="P532" s="3"/>
      <c r="R532" s="3"/>
    </row>
    <row r="533" spans="1:18" ht="40" customHeight="1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M533" s="3"/>
      <c r="N533" s="3"/>
      <c r="O533" s="3"/>
      <c r="P533" s="3"/>
      <c r="R533" s="3"/>
    </row>
    <row r="534" spans="1:18" ht="40" customHeight="1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M534" s="3"/>
      <c r="N534" s="3"/>
      <c r="O534" s="3"/>
      <c r="P534" s="3"/>
      <c r="R534" s="3"/>
    </row>
    <row r="535" spans="1:18" ht="40" customHeight="1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M535" s="3"/>
      <c r="N535" s="3"/>
      <c r="O535" s="3"/>
      <c r="P535" s="3"/>
      <c r="R535" s="3"/>
    </row>
    <row r="536" spans="1:18" ht="40" customHeight="1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M536" s="3"/>
      <c r="N536" s="3"/>
      <c r="O536" s="3"/>
      <c r="P536" s="3"/>
      <c r="R536" s="3"/>
    </row>
    <row r="537" spans="1:18" ht="40" customHeight="1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M537" s="3"/>
      <c r="N537" s="3"/>
      <c r="O537" s="3"/>
      <c r="P537" s="3"/>
      <c r="R537" s="3"/>
    </row>
    <row r="538" spans="1:18" ht="40" customHeight="1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M538" s="3"/>
      <c r="N538" s="3"/>
      <c r="O538" s="3"/>
      <c r="P538" s="3"/>
      <c r="R538" s="3"/>
    </row>
    <row r="539" spans="1:18" ht="40" customHeight="1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M539" s="3"/>
      <c r="N539" s="3"/>
      <c r="O539" s="3"/>
      <c r="P539" s="3"/>
      <c r="R539" s="3"/>
    </row>
    <row r="540" spans="1:18" ht="40" customHeight="1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M540" s="3"/>
      <c r="N540" s="3"/>
      <c r="O540" s="3"/>
      <c r="P540" s="3"/>
      <c r="R540" s="3"/>
    </row>
    <row r="541" spans="1:18" ht="40" customHeight="1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M541" s="3"/>
      <c r="N541" s="3"/>
      <c r="O541" s="3"/>
      <c r="P541" s="3"/>
      <c r="R541" s="3"/>
    </row>
    <row r="542" spans="1:18" ht="40" customHeight="1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M542" s="3"/>
      <c r="N542" s="3"/>
      <c r="O542" s="3"/>
      <c r="P542" s="3"/>
      <c r="R542" s="3"/>
    </row>
    <row r="543" spans="1:18" ht="40" customHeight="1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M543" s="3"/>
      <c r="N543" s="3"/>
      <c r="O543" s="3"/>
      <c r="P543" s="3"/>
      <c r="R543" s="3"/>
    </row>
    <row r="544" spans="1:18" ht="40" customHeight="1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M544" s="3"/>
      <c r="N544" s="3"/>
      <c r="O544" s="3"/>
      <c r="P544" s="3"/>
      <c r="R544" s="3"/>
    </row>
    <row r="545" spans="1:18" ht="40" customHeight="1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M545" s="3"/>
      <c r="N545" s="3"/>
      <c r="O545" s="3"/>
      <c r="P545" s="3"/>
      <c r="R545" s="3"/>
    </row>
    <row r="546" spans="1:18" ht="40" customHeight="1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M546" s="3"/>
      <c r="N546" s="3"/>
      <c r="O546" s="3"/>
      <c r="P546" s="3"/>
      <c r="R546" s="3"/>
    </row>
    <row r="547" spans="1:18" ht="40" customHeight="1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M547" s="3"/>
      <c r="N547" s="3"/>
      <c r="O547" s="3"/>
      <c r="P547" s="3"/>
      <c r="R547" s="3"/>
    </row>
    <row r="548" spans="1:18" ht="40" customHeight="1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M548" s="3"/>
      <c r="N548" s="3"/>
      <c r="O548" s="3"/>
      <c r="P548" s="3"/>
      <c r="R548" s="3"/>
    </row>
    <row r="549" spans="1:18" ht="40" customHeight="1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M549" s="3"/>
      <c r="N549" s="3"/>
      <c r="O549" s="3"/>
      <c r="P549" s="3"/>
      <c r="R549" s="3"/>
    </row>
    <row r="550" spans="1:18" ht="40" customHeight="1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M550" s="3"/>
      <c r="N550" s="3"/>
      <c r="O550" s="3"/>
      <c r="P550" s="3"/>
      <c r="R550" s="3"/>
    </row>
    <row r="551" spans="1:18" ht="40" customHeight="1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M551" s="3"/>
      <c r="N551" s="3"/>
      <c r="O551" s="3"/>
      <c r="P551" s="3"/>
      <c r="R551" s="3"/>
    </row>
    <row r="552" spans="1:18" ht="40" customHeight="1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M552" s="3"/>
      <c r="N552" s="3"/>
      <c r="O552" s="3"/>
      <c r="P552" s="3"/>
      <c r="R552" s="3"/>
    </row>
    <row r="553" spans="1:18" ht="40" customHeight="1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M553" s="3"/>
      <c r="N553" s="3"/>
      <c r="O553" s="3"/>
      <c r="P553" s="3"/>
      <c r="R553" s="3"/>
    </row>
    <row r="554" spans="1:18" ht="40" customHeight="1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M554" s="3"/>
      <c r="N554" s="3"/>
      <c r="O554" s="3"/>
      <c r="P554" s="3"/>
      <c r="R554" s="3"/>
    </row>
    <row r="555" spans="1:18" ht="40" customHeight="1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M555" s="3"/>
      <c r="N555" s="3"/>
      <c r="O555" s="3"/>
      <c r="P555" s="3"/>
      <c r="R555" s="3"/>
    </row>
    <row r="556" spans="1:18" ht="40" customHeight="1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M556" s="3"/>
      <c r="N556" s="3"/>
      <c r="O556" s="3"/>
      <c r="P556" s="3"/>
      <c r="R556" s="3"/>
    </row>
    <row r="557" spans="1:18" ht="40" customHeight="1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M557" s="3"/>
      <c r="N557" s="3"/>
      <c r="O557" s="3"/>
      <c r="P557" s="3"/>
      <c r="R557" s="3"/>
    </row>
    <row r="558" spans="1:18" ht="40" customHeight="1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M558" s="3"/>
      <c r="N558" s="3"/>
      <c r="O558" s="3"/>
      <c r="P558" s="3"/>
      <c r="R558" s="3"/>
    </row>
    <row r="559" spans="1:18" ht="40" customHeight="1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M559" s="3"/>
      <c r="N559" s="3"/>
      <c r="O559" s="3"/>
      <c r="P559" s="3"/>
      <c r="R559" s="3"/>
    </row>
    <row r="560" spans="1:18" ht="40" customHeight="1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M560" s="3"/>
      <c r="N560" s="3"/>
      <c r="O560" s="3"/>
      <c r="P560" s="3"/>
      <c r="R560" s="3"/>
    </row>
    <row r="561" spans="1:18" ht="40" customHeight="1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M561" s="3"/>
      <c r="N561" s="3"/>
      <c r="O561" s="3"/>
      <c r="P561" s="3"/>
      <c r="R561" s="3"/>
    </row>
    <row r="562" spans="1:18" ht="40" customHeight="1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M562" s="3"/>
      <c r="N562" s="3"/>
      <c r="O562" s="3"/>
      <c r="P562" s="3"/>
      <c r="R562" s="3"/>
    </row>
    <row r="563" spans="1:18" ht="40" customHeight="1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M563" s="3"/>
      <c r="N563" s="3"/>
      <c r="O563" s="3"/>
      <c r="P563" s="3"/>
      <c r="R563" s="3"/>
    </row>
    <row r="564" spans="1:18" ht="40" customHeight="1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M564" s="3"/>
      <c r="N564" s="3"/>
      <c r="O564" s="3"/>
      <c r="P564" s="3"/>
      <c r="R564" s="3"/>
    </row>
    <row r="565" spans="1:18" ht="40" customHeight="1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M565" s="3"/>
      <c r="N565" s="3"/>
      <c r="O565" s="3"/>
      <c r="P565" s="3"/>
      <c r="R565" s="3"/>
    </row>
    <row r="566" spans="1:18" ht="40" customHeight="1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M566" s="3"/>
      <c r="N566" s="3"/>
      <c r="O566" s="3"/>
      <c r="P566" s="3"/>
      <c r="R566" s="3"/>
    </row>
    <row r="567" spans="1:18" ht="40" customHeight="1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M567" s="3"/>
      <c r="N567" s="3"/>
      <c r="O567" s="3"/>
      <c r="P567" s="3"/>
      <c r="R567" s="3"/>
    </row>
    <row r="568" spans="1:18" ht="40" customHeight="1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M568" s="3"/>
      <c r="N568" s="3"/>
      <c r="O568" s="3"/>
      <c r="P568" s="3"/>
      <c r="R568" s="3"/>
    </row>
    <row r="569" spans="1:18" ht="40" customHeight="1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M569" s="3"/>
      <c r="N569" s="3"/>
      <c r="O569" s="3"/>
      <c r="P569" s="3"/>
      <c r="R569" s="3"/>
    </row>
    <row r="570" spans="1:18" ht="40" customHeight="1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M570" s="3"/>
      <c r="N570" s="3"/>
      <c r="O570" s="3"/>
      <c r="P570" s="3"/>
      <c r="R570" s="3"/>
    </row>
    <row r="571" spans="1:18" ht="40" customHeight="1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M571" s="3"/>
      <c r="N571" s="3"/>
      <c r="O571" s="3"/>
      <c r="P571" s="3"/>
      <c r="R571" s="3"/>
    </row>
    <row r="572" spans="1:18" ht="40" customHeight="1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M572" s="3"/>
      <c r="N572" s="3"/>
      <c r="O572" s="3"/>
      <c r="P572" s="3"/>
      <c r="R572" s="3"/>
    </row>
    <row r="573" spans="1:18" ht="40" customHeight="1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M573" s="3"/>
      <c r="N573" s="3"/>
      <c r="O573" s="3"/>
      <c r="P573" s="3"/>
      <c r="R573" s="3"/>
    </row>
    <row r="574" spans="1:18" ht="40" customHeight="1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M574" s="3"/>
      <c r="N574" s="3"/>
      <c r="O574" s="3"/>
      <c r="P574" s="3"/>
      <c r="R574" s="3"/>
    </row>
    <row r="575" spans="1:18" ht="40" customHeight="1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M575" s="3"/>
      <c r="N575" s="3"/>
      <c r="O575" s="3"/>
      <c r="P575" s="3"/>
      <c r="R575" s="3"/>
    </row>
    <row r="576" spans="1:18" ht="40" customHeight="1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M576" s="3"/>
      <c r="N576" s="3"/>
      <c r="O576" s="3"/>
      <c r="P576" s="3"/>
      <c r="R576" s="3"/>
    </row>
    <row r="577" spans="1:18" ht="40" customHeight="1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M577" s="3"/>
      <c r="N577" s="3"/>
      <c r="O577" s="3"/>
      <c r="P577" s="3"/>
      <c r="R577" s="3"/>
    </row>
    <row r="578" spans="1:18" ht="40" customHeight="1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M578" s="3"/>
      <c r="N578" s="3"/>
      <c r="O578" s="3"/>
      <c r="P578" s="3"/>
      <c r="R578" s="3"/>
    </row>
    <row r="579" spans="1:18" ht="40" customHeight="1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M579" s="3"/>
      <c r="N579" s="3"/>
      <c r="O579" s="3"/>
      <c r="P579" s="3"/>
      <c r="R579" s="3"/>
    </row>
    <row r="580" spans="1:18" ht="40" customHeight="1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M580" s="3"/>
      <c r="N580" s="3"/>
      <c r="O580" s="3"/>
      <c r="P580" s="3"/>
      <c r="R580" s="3"/>
    </row>
    <row r="581" spans="1:18" ht="40" customHeight="1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M581" s="3"/>
      <c r="N581" s="3"/>
      <c r="O581" s="3"/>
      <c r="P581" s="3"/>
      <c r="R581" s="3"/>
    </row>
    <row r="582" spans="1:18" ht="40" customHeight="1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M582" s="3"/>
      <c r="N582" s="3"/>
      <c r="O582" s="3"/>
      <c r="P582" s="3"/>
      <c r="R582" s="3"/>
    </row>
    <row r="583" spans="1:18" ht="40" customHeight="1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M583" s="3"/>
      <c r="N583" s="3"/>
      <c r="O583" s="3"/>
      <c r="P583" s="3"/>
      <c r="R583" s="3"/>
    </row>
    <row r="584" spans="1:18" ht="40" customHeight="1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M584" s="3"/>
      <c r="N584" s="3"/>
      <c r="O584" s="3"/>
      <c r="P584" s="3"/>
      <c r="R584" s="3"/>
    </row>
    <row r="585" spans="1:18" ht="40" customHeight="1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M585" s="3"/>
      <c r="N585" s="3"/>
      <c r="O585" s="3"/>
      <c r="P585" s="3"/>
      <c r="R585" s="3"/>
    </row>
    <row r="586" spans="1:18" ht="40" customHeight="1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M586" s="3"/>
      <c r="N586" s="3"/>
      <c r="O586" s="3"/>
      <c r="P586" s="3"/>
      <c r="R586" s="3"/>
    </row>
    <row r="587" spans="1:18" ht="40" customHeight="1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M587" s="3"/>
      <c r="N587" s="3"/>
      <c r="O587" s="3"/>
      <c r="P587" s="3"/>
      <c r="R587" s="3"/>
    </row>
    <row r="588" spans="1:18" ht="40" customHeight="1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M588" s="3"/>
      <c r="N588" s="3"/>
      <c r="O588" s="3"/>
      <c r="P588" s="3"/>
      <c r="R588" s="3"/>
    </row>
    <row r="589" spans="1:18" ht="40" customHeight="1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M589" s="3"/>
      <c r="N589" s="3"/>
      <c r="O589" s="3"/>
      <c r="P589" s="3"/>
      <c r="R589" s="3"/>
    </row>
    <row r="590" spans="1:18" ht="40" customHeight="1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M590" s="3"/>
      <c r="N590" s="3"/>
      <c r="O590" s="3"/>
      <c r="P590" s="3"/>
      <c r="R590" s="3"/>
    </row>
    <row r="591" spans="1:18" ht="40" customHeight="1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M591" s="3"/>
      <c r="N591" s="3"/>
      <c r="O591" s="3"/>
      <c r="P591" s="3"/>
      <c r="R591" s="3"/>
    </row>
    <row r="592" spans="1:18" ht="40" customHeight="1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M592" s="3"/>
      <c r="N592" s="3"/>
      <c r="O592" s="3"/>
      <c r="P592" s="3"/>
      <c r="R592" s="3"/>
    </row>
    <row r="593" spans="1:18" ht="40" customHeight="1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M593" s="3"/>
      <c r="N593" s="3"/>
      <c r="O593" s="3"/>
      <c r="P593" s="3"/>
      <c r="R593" s="3"/>
    </row>
    <row r="594" spans="1:18" ht="40" customHeight="1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M594" s="3"/>
      <c r="N594" s="3"/>
      <c r="O594" s="3"/>
      <c r="P594" s="3"/>
      <c r="R594" s="3"/>
    </row>
    <row r="595" spans="1:18" ht="40" customHeight="1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M595" s="3"/>
      <c r="N595" s="3"/>
      <c r="O595" s="3"/>
      <c r="P595" s="3"/>
      <c r="R595" s="3"/>
    </row>
    <row r="596" spans="1:18" ht="40" customHeight="1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M596" s="3"/>
      <c r="N596" s="3"/>
      <c r="O596" s="3"/>
      <c r="P596" s="3"/>
      <c r="R596" s="3"/>
    </row>
    <row r="597" spans="1:18" ht="40" customHeight="1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M597" s="3"/>
      <c r="N597" s="3"/>
      <c r="O597" s="3"/>
      <c r="P597" s="3"/>
      <c r="R597" s="3"/>
    </row>
    <row r="598" spans="1:18" ht="40" customHeight="1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M598" s="3"/>
      <c r="N598" s="3"/>
      <c r="O598" s="3"/>
      <c r="P598" s="3"/>
      <c r="R598" s="3"/>
    </row>
    <row r="599" spans="1:18" ht="40" customHeight="1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M599" s="3"/>
      <c r="N599" s="3"/>
      <c r="O599" s="3"/>
      <c r="P599" s="3"/>
      <c r="R599" s="3"/>
    </row>
    <row r="600" spans="1:18" ht="40" customHeight="1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M600" s="3"/>
      <c r="N600" s="3"/>
      <c r="O600" s="3"/>
      <c r="P600" s="3"/>
      <c r="R600" s="3"/>
    </row>
    <row r="601" spans="1:18" ht="40" customHeight="1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M601" s="3"/>
      <c r="N601" s="3"/>
      <c r="O601" s="3"/>
      <c r="P601" s="3"/>
      <c r="R601" s="3"/>
    </row>
    <row r="602" spans="1:18" ht="40" customHeight="1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M602" s="3"/>
      <c r="N602" s="3"/>
      <c r="O602" s="3"/>
      <c r="P602" s="3"/>
      <c r="R602" s="3"/>
    </row>
    <row r="603" spans="1:18" ht="40" customHeight="1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M603" s="3"/>
      <c r="N603" s="3"/>
      <c r="O603" s="3"/>
      <c r="P603" s="3"/>
      <c r="R603" s="3"/>
    </row>
    <row r="604" spans="1:18" ht="40" customHeight="1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M604" s="3"/>
      <c r="N604" s="3"/>
      <c r="O604" s="3"/>
      <c r="P604" s="3"/>
      <c r="R604" s="3"/>
    </row>
    <row r="605" spans="1:18" ht="40" customHeight="1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M605" s="3"/>
      <c r="N605" s="3"/>
      <c r="O605" s="3"/>
      <c r="P605" s="3"/>
      <c r="R605" s="3"/>
    </row>
    <row r="606" spans="1:18" ht="40" customHeight="1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M606" s="3"/>
      <c r="N606" s="3"/>
      <c r="O606" s="3"/>
      <c r="P606" s="3"/>
      <c r="R606" s="3"/>
    </row>
    <row r="607" spans="1:18" ht="40" customHeight="1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M607" s="3"/>
      <c r="N607" s="3"/>
      <c r="O607" s="3"/>
      <c r="P607" s="3"/>
      <c r="R607" s="3"/>
    </row>
    <row r="608" spans="1:18" ht="40" customHeight="1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M608" s="3"/>
      <c r="N608" s="3"/>
      <c r="O608" s="3"/>
      <c r="P608" s="3"/>
      <c r="R608" s="3"/>
    </row>
    <row r="609" spans="1:18" ht="40" customHeight="1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M609" s="3"/>
      <c r="N609" s="3"/>
      <c r="O609" s="3"/>
      <c r="P609" s="3"/>
      <c r="R609" s="3"/>
    </row>
    <row r="610" spans="1:18" ht="40" customHeight="1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M610" s="3"/>
      <c r="N610" s="3"/>
      <c r="O610" s="3"/>
      <c r="P610" s="3"/>
      <c r="R610" s="3"/>
    </row>
    <row r="611" spans="1:18" ht="40" customHeight="1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M611" s="3"/>
      <c r="N611" s="3"/>
      <c r="O611" s="3"/>
      <c r="P611" s="3"/>
      <c r="R611" s="3"/>
    </row>
    <row r="612" spans="1:18" ht="40" customHeight="1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M612" s="3"/>
      <c r="N612" s="3"/>
      <c r="O612" s="3"/>
      <c r="P612" s="3"/>
      <c r="R612" s="3"/>
    </row>
    <row r="613" spans="1:18" ht="40" customHeight="1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M613" s="3"/>
      <c r="N613" s="3"/>
      <c r="O613" s="3"/>
      <c r="P613" s="3"/>
      <c r="R613" s="3"/>
    </row>
    <row r="614" spans="1:18" ht="40" customHeight="1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M614" s="3"/>
      <c r="N614" s="3"/>
      <c r="O614" s="3"/>
      <c r="P614" s="3"/>
      <c r="R614" s="3"/>
    </row>
    <row r="615" spans="1:18" ht="40" customHeight="1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M615" s="3"/>
      <c r="N615" s="3"/>
      <c r="O615" s="3"/>
      <c r="P615" s="3"/>
      <c r="R615" s="3"/>
    </row>
    <row r="616" spans="1:18" ht="40" customHeight="1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M616" s="3"/>
      <c r="N616" s="3"/>
      <c r="O616" s="3"/>
      <c r="P616" s="3"/>
      <c r="R616" s="3"/>
    </row>
    <row r="617" spans="1:18" ht="40" customHeight="1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M617" s="3"/>
      <c r="N617" s="3"/>
      <c r="O617" s="3"/>
      <c r="P617" s="3"/>
      <c r="R617" s="3"/>
    </row>
    <row r="618" spans="1:18" ht="40" customHeight="1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M618" s="3"/>
      <c r="N618" s="3"/>
      <c r="O618" s="3"/>
      <c r="P618" s="3"/>
      <c r="R618" s="3"/>
    </row>
    <row r="619" spans="1:18" ht="40" customHeight="1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M619" s="3"/>
      <c r="N619" s="3"/>
      <c r="O619" s="3"/>
      <c r="P619" s="3"/>
      <c r="R619" s="3"/>
    </row>
    <row r="620" spans="1:18" ht="40" customHeight="1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M620" s="3"/>
      <c r="N620" s="3"/>
      <c r="O620" s="3"/>
      <c r="P620" s="3"/>
      <c r="R620" s="3"/>
    </row>
    <row r="621" spans="1:18" ht="40" customHeight="1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M621" s="3"/>
      <c r="N621" s="3"/>
      <c r="O621" s="3"/>
      <c r="P621" s="3"/>
      <c r="R621" s="3"/>
    </row>
    <row r="622" spans="1:18" ht="40" customHeight="1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M622" s="3"/>
      <c r="N622" s="3"/>
      <c r="O622" s="3"/>
      <c r="P622" s="3"/>
      <c r="R622" s="3"/>
    </row>
    <row r="623" spans="1:18" ht="40" customHeight="1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M623" s="3"/>
      <c r="N623" s="3"/>
      <c r="O623" s="3"/>
      <c r="P623" s="3"/>
      <c r="R623" s="3"/>
    </row>
    <row r="624" spans="1:18" ht="40" customHeight="1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M624" s="3"/>
      <c r="N624" s="3"/>
      <c r="O624" s="3"/>
      <c r="P624" s="3"/>
      <c r="R624" s="3"/>
    </row>
    <row r="625" spans="1:18" ht="40" customHeight="1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M625" s="3"/>
      <c r="N625" s="3"/>
      <c r="O625" s="3"/>
      <c r="P625" s="3"/>
      <c r="R625" s="3"/>
    </row>
    <row r="626" spans="1:18" ht="40" customHeight="1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M626" s="3"/>
      <c r="N626" s="3"/>
      <c r="O626" s="3"/>
      <c r="P626" s="3"/>
      <c r="R626" s="3"/>
    </row>
    <row r="627" spans="1:18" ht="40" customHeight="1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M627" s="3"/>
      <c r="N627" s="3"/>
      <c r="O627" s="3"/>
      <c r="P627" s="3"/>
      <c r="R627" s="3"/>
    </row>
    <row r="628" spans="1:18" ht="40" customHeight="1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M628" s="3"/>
      <c r="N628" s="3"/>
      <c r="O628" s="3"/>
      <c r="P628" s="3"/>
      <c r="R628" s="3"/>
    </row>
    <row r="629" spans="1:18" ht="40" customHeight="1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M629" s="3"/>
      <c r="N629" s="3"/>
      <c r="O629" s="3"/>
      <c r="P629" s="3"/>
      <c r="R629" s="3"/>
    </row>
    <row r="630" spans="1:18" ht="40" customHeight="1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M630" s="3"/>
      <c r="N630" s="3"/>
      <c r="O630" s="3"/>
      <c r="P630" s="3"/>
      <c r="R630" s="3"/>
    </row>
    <row r="631" spans="1:18" ht="40" customHeight="1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M631" s="3"/>
      <c r="N631" s="3"/>
      <c r="O631" s="3"/>
      <c r="P631" s="3"/>
      <c r="R631" s="3"/>
    </row>
    <row r="632" spans="1:18" ht="40" customHeight="1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M632" s="3"/>
      <c r="N632" s="3"/>
      <c r="O632" s="3"/>
      <c r="P632" s="3"/>
      <c r="R632" s="3"/>
    </row>
    <row r="633" spans="1:18" ht="40" customHeight="1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M633" s="3"/>
      <c r="N633" s="3"/>
      <c r="O633" s="3"/>
      <c r="P633" s="3"/>
      <c r="R633" s="3"/>
    </row>
    <row r="634" spans="1:18" ht="40" customHeight="1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M634" s="3"/>
      <c r="N634" s="3"/>
      <c r="O634" s="3"/>
      <c r="P634" s="3"/>
      <c r="R634" s="3"/>
    </row>
    <row r="635" spans="1:18" ht="40" customHeight="1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M635" s="3"/>
      <c r="N635" s="3"/>
      <c r="O635" s="3"/>
      <c r="P635" s="3"/>
      <c r="R635" s="3"/>
    </row>
    <row r="636" spans="1:18" ht="40" customHeight="1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M636" s="3"/>
      <c r="N636" s="3"/>
      <c r="O636" s="3"/>
      <c r="P636" s="3"/>
      <c r="R636" s="3"/>
    </row>
    <row r="637" spans="1:18" ht="40" customHeight="1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M637" s="3"/>
      <c r="N637" s="3"/>
      <c r="O637" s="3"/>
      <c r="P637" s="3"/>
      <c r="R637" s="3"/>
    </row>
    <row r="638" spans="1:18" ht="40" customHeight="1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M638" s="3"/>
      <c r="N638" s="3"/>
      <c r="O638" s="3"/>
      <c r="P638" s="3"/>
      <c r="R638" s="3"/>
    </row>
    <row r="639" spans="1:18" ht="40" customHeight="1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M639" s="3"/>
      <c r="N639" s="3"/>
      <c r="O639" s="3"/>
      <c r="P639" s="3"/>
      <c r="R639" s="3"/>
    </row>
    <row r="640" spans="1:18" ht="40" customHeight="1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M640" s="3"/>
      <c r="N640" s="3"/>
      <c r="O640" s="3"/>
      <c r="P640" s="3"/>
      <c r="R640" s="3"/>
    </row>
    <row r="641" spans="1:18" ht="40" customHeight="1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M641" s="3"/>
      <c r="N641" s="3"/>
      <c r="O641" s="3"/>
      <c r="P641" s="3"/>
      <c r="R641" s="3"/>
    </row>
    <row r="642" spans="1:18" ht="40" customHeight="1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M642" s="3"/>
      <c r="N642" s="3"/>
      <c r="O642" s="3"/>
      <c r="P642" s="3"/>
      <c r="R642" s="3"/>
    </row>
    <row r="643" spans="1:18" ht="40" customHeight="1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M643" s="3"/>
      <c r="N643" s="3"/>
      <c r="O643" s="3"/>
      <c r="P643" s="3"/>
      <c r="R643" s="3"/>
    </row>
    <row r="644" spans="1:18" ht="40" customHeight="1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M644" s="3"/>
      <c r="N644" s="3"/>
      <c r="O644" s="3"/>
      <c r="P644" s="3"/>
      <c r="R644" s="3"/>
    </row>
    <row r="645" spans="1:18" ht="40" customHeight="1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M645" s="3"/>
      <c r="N645" s="3"/>
      <c r="O645" s="3"/>
      <c r="P645" s="3"/>
      <c r="R645" s="3"/>
    </row>
    <row r="646" spans="1:18" ht="40" customHeight="1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M646" s="3"/>
      <c r="N646" s="3"/>
      <c r="O646" s="3"/>
      <c r="P646" s="3"/>
      <c r="R646" s="3"/>
    </row>
    <row r="647" spans="1:18" ht="40" customHeight="1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M647" s="3"/>
      <c r="N647" s="3"/>
      <c r="O647" s="3"/>
      <c r="P647" s="3"/>
      <c r="R647" s="3"/>
    </row>
    <row r="648" spans="1:18" ht="40" customHeight="1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M648" s="3"/>
      <c r="N648" s="3"/>
      <c r="O648" s="3"/>
      <c r="P648" s="3"/>
      <c r="R648" s="3"/>
    </row>
    <row r="649" spans="1:18" ht="40" customHeight="1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M649" s="3"/>
      <c r="N649" s="3"/>
      <c r="O649" s="3"/>
      <c r="P649" s="3"/>
      <c r="R649" s="3"/>
    </row>
    <row r="650" spans="1:18" ht="40" customHeight="1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M650" s="3"/>
      <c r="N650" s="3"/>
      <c r="O650" s="3"/>
      <c r="P650" s="3"/>
      <c r="R650" s="3"/>
    </row>
    <row r="651" spans="1:18" ht="40" customHeight="1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M651" s="3"/>
      <c r="N651" s="3"/>
      <c r="O651" s="3"/>
      <c r="P651" s="3"/>
      <c r="R651" s="3"/>
    </row>
    <row r="652" spans="1:18" ht="40" customHeight="1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M652" s="3"/>
      <c r="N652" s="3"/>
      <c r="O652" s="3"/>
      <c r="P652" s="3"/>
      <c r="R652" s="3"/>
    </row>
    <row r="653" spans="1:18" ht="40" customHeight="1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M653" s="3"/>
      <c r="N653" s="3"/>
      <c r="O653" s="3"/>
      <c r="P653" s="3"/>
      <c r="R653" s="3"/>
    </row>
    <row r="654" spans="1:18" ht="40" customHeight="1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M654" s="3"/>
      <c r="N654" s="3"/>
      <c r="O654" s="3"/>
      <c r="P654" s="3"/>
      <c r="R654" s="3"/>
    </row>
    <row r="655" spans="1:18" ht="40" customHeight="1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M655" s="3"/>
      <c r="N655" s="3"/>
      <c r="O655" s="3"/>
      <c r="P655" s="3"/>
      <c r="R655" s="3"/>
    </row>
    <row r="656" spans="1:18" ht="40" customHeight="1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M656" s="3"/>
      <c r="N656" s="3"/>
      <c r="O656" s="3"/>
      <c r="P656" s="3"/>
      <c r="R656" s="3"/>
    </row>
    <row r="657" spans="1:18" ht="40" customHeight="1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M657" s="3"/>
      <c r="N657" s="3"/>
      <c r="O657" s="3"/>
      <c r="P657" s="3"/>
      <c r="R657" s="3"/>
    </row>
    <row r="658" spans="1:18" ht="40" customHeight="1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M658" s="3"/>
      <c r="N658" s="3"/>
      <c r="O658" s="3"/>
      <c r="P658" s="3"/>
      <c r="R658" s="3"/>
    </row>
    <row r="659" spans="1:18" ht="40" customHeight="1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M659" s="3"/>
      <c r="N659" s="3"/>
      <c r="O659" s="3"/>
      <c r="P659" s="3"/>
      <c r="R659" s="3"/>
    </row>
    <row r="660" spans="1:18" ht="40" customHeight="1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M660" s="3"/>
      <c r="N660" s="3"/>
      <c r="O660" s="3"/>
      <c r="P660" s="3"/>
      <c r="R660" s="3"/>
    </row>
    <row r="661" spans="1:18" ht="40" customHeight="1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M661" s="3"/>
      <c r="N661" s="3"/>
      <c r="O661" s="3"/>
      <c r="P661" s="3"/>
      <c r="R661" s="3"/>
    </row>
    <row r="662" spans="1:18" ht="40" customHeight="1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M662" s="3"/>
      <c r="N662" s="3"/>
      <c r="O662" s="3"/>
      <c r="P662" s="3"/>
      <c r="R662" s="3"/>
    </row>
    <row r="663" spans="1:18" ht="40" customHeight="1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M663" s="3"/>
      <c r="N663" s="3"/>
      <c r="O663" s="3"/>
      <c r="P663" s="3"/>
      <c r="R663" s="3"/>
    </row>
    <row r="664" spans="1:18" ht="40" customHeight="1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M664" s="3"/>
      <c r="N664" s="3"/>
      <c r="O664" s="3"/>
      <c r="P664" s="3"/>
      <c r="R664" s="3"/>
    </row>
    <row r="665" spans="1:18" ht="40" customHeight="1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M665" s="3"/>
      <c r="N665" s="3"/>
      <c r="O665" s="3"/>
      <c r="P665" s="3"/>
      <c r="R665" s="3"/>
    </row>
    <row r="666" spans="1:18" ht="40" customHeight="1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M666" s="3"/>
      <c r="N666" s="3"/>
      <c r="O666" s="3"/>
      <c r="P666" s="3"/>
      <c r="R666" s="3"/>
    </row>
    <row r="667" spans="1:18" ht="40" customHeight="1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M667" s="3"/>
      <c r="N667" s="3"/>
      <c r="O667" s="3"/>
      <c r="P667" s="3"/>
      <c r="R667" s="3"/>
    </row>
    <row r="668" spans="1:18" ht="40" customHeight="1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M668" s="3"/>
      <c r="N668" s="3"/>
      <c r="O668" s="3"/>
      <c r="P668" s="3"/>
      <c r="R668" s="3"/>
    </row>
    <row r="669" spans="1:18" ht="40" customHeight="1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M669" s="3"/>
      <c r="N669" s="3"/>
      <c r="O669" s="3"/>
      <c r="P669" s="3"/>
      <c r="R669" s="3"/>
    </row>
    <row r="670" spans="1:18" ht="40" customHeight="1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M670" s="3"/>
      <c r="N670" s="3"/>
      <c r="O670" s="3"/>
      <c r="P670" s="3"/>
      <c r="R670" s="3"/>
    </row>
    <row r="671" spans="1:18" ht="40" customHeight="1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M671" s="3"/>
      <c r="N671" s="3"/>
      <c r="O671" s="3"/>
      <c r="P671" s="3"/>
      <c r="R671" s="3"/>
    </row>
    <row r="672" spans="1:18" ht="40" customHeight="1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M672" s="3"/>
      <c r="N672" s="3"/>
      <c r="O672" s="3"/>
      <c r="P672" s="3"/>
      <c r="R672" s="3"/>
    </row>
    <row r="673" spans="1:18" ht="40" customHeight="1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M673" s="3"/>
      <c r="N673" s="3"/>
      <c r="O673" s="3"/>
      <c r="P673" s="3"/>
      <c r="R673" s="3"/>
    </row>
    <row r="674" spans="1:18" ht="40" customHeight="1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M674" s="3"/>
      <c r="N674" s="3"/>
      <c r="O674" s="3"/>
      <c r="P674" s="3"/>
      <c r="R674" s="3"/>
    </row>
    <row r="675" spans="1:18" ht="40" customHeight="1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M675" s="3"/>
      <c r="N675" s="3"/>
      <c r="O675" s="3"/>
      <c r="P675" s="3"/>
      <c r="R675" s="3"/>
    </row>
    <row r="676" spans="1:18" ht="40" customHeight="1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M676" s="3"/>
      <c r="N676" s="3"/>
      <c r="O676" s="3"/>
      <c r="P676" s="3"/>
      <c r="R676" s="3"/>
    </row>
    <row r="677" spans="1:18" ht="40" customHeight="1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M677" s="3"/>
      <c r="N677" s="3"/>
      <c r="O677" s="3"/>
      <c r="P677" s="3"/>
      <c r="R677" s="3"/>
    </row>
    <row r="678" spans="1:18" ht="40" customHeight="1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M678" s="3"/>
      <c r="N678" s="3"/>
      <c r="O678" s="3"/>
      <c r="P678" s="3"/>
      <c r="R678" s="3"/>
    </row>
    <row r="679" spans="1:18" ht="40" customHeight="1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M679" s="3"/>
      <c r="N679" s="3"/>
      <c r="O679" s="3"/>
      <c r="P679" s="3"/>
      <c r="R679" s="3"/>
    </row>
    <row r="680" spans="1:18" ht="40" customHeight="1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M680" s="3"/>
      <c r="N680" s="3"/>
      <c r="O680" s="3"/>
      <c r="P680" s="3"/>
      <c r="R680" s="3"/>
    </row>
    <row r="681" spans="1:18" ht="40" customHeight="1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M681" s="3"/>
      <c r="N681" s="3"/>
      <c r="O681" s="3"/>
      <c r="P681" s="3"/>
      <c r="R681" s="3"/>
    </row>
    <row r="682" spans="1:18" ht="40" customHeight="1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M682" s="3"/>
      <c r="N682" s="3"/>
      <c r="O682" s="3"/>
      <c r="P682" s="3"/>
      <c r="R682" s="3"/>
    </row>
    <row r="683" spans="1:18" ht="40" customHeight="1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M683" s="3"/>
      <c r="N683" s="3"/>
      <c r="O683" s="3"/>
      <c r="P683" s="3"/>
      <c r="R683" s="3"/>
    </row>
    <row r="684" spans="1:18" ht="40" customHeight="1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M684" s="3"/>
      <c r="N684" s="3"/>
      <c r="O684" s="3"/>
      <c r="P684" s="3"/>
      <c r="R684" s="3"/>
    </row>
    <row r="685" spans="1:18" ht="40" customHeight="1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M685" s="3"/>
      <c r="N685" s="3"/>
      <c r="O685" s="3"/>
      <c r="P685" s="3"/>
      <c r="R685" s="3"/>
    </row>
    <row r="686" spans="1:18" ht="40" customHeight="1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M686" s="3"/>
      <c r="N686" s="3"/>
      <c r="O686" s="3"/>
      <c r="P686" s="3"/>
      <c r="R686" s="3"/>
    </row>
    <row r="687" spans="1:18" ht="40" customHeight="1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M687" s="3"/>
      <c r="N687" s="3"/>
      <c r="O687" s="3"/>
      <c r="P687" s="3"/>
      <c r="R687" s="3"/>
    </row>
    <row r="688" spans="1:18" ht="40" customHeight="1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M688" s="3"/>
      <c r="N688" s="3"/>
      <c r="O688" s="3"/>
      <c r="P688" s="3"/>
      <c r="R688" s="3"/>
    </row>
    <row r="689" spans="1:18" ht="40" customHeight="1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M689" s="3"/>
      <c r="N689" s="3"/>
      <c r="O689" s="3"/>
      <c r="P689" s="3"/>
      <c r="R689" s="3"/>
    </row>
    <row r="690" spans="1:18" ht="40" customHeight="1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M690" s="3"/>
      <c r="N690" s="3"/>
      <c r="O690" s="3"/>
      <c r="P690" s="3"/>
      <c r="R690" s="3"/>
    </row>
    <row r="691" spans="1:18" ht="40" customHeight="1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M691" s="3"/>
      <c r="N691" s="3"/>
      <c r="O691" s="3"/>
      <c r="P691" s="3"/>
      <c r="R691" s="3"/>
    </row>
    <row r="692" spans="1:18" ht="40" customHeight="1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M692" s="3"/>
      <c r="N692" s="3"/>
      <c r="O692" s="3"/>
      <c r="P692" s="3"/>
      <c r="R692" s="3"/>
    </row>
    <row r="693" spans="1:18" ht="40" customHeight="1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M693" s="3"/>
      <c r="N693" s="3"/>
      <c r="O693" s="3"/>
      <c r="P693" s="3"/>
      <c r="R693" s="3"/>
    </row>
    <row r="694" spans="1:18" ht="40" customHeight="1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M694" s="3"/>
      <c r="N694" s="3"/>
      <c r="O694" s="3"/>
      <c r="P694" s="3"/>
      <c r="R694" s="3"/>
    </row>
    <row r="695" spans="1:18" ht="40" customHeight="1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M695" s="3"/>
      <c r="N695" s="3"/>
      <c r="O695" s="3"/>
      <c r="P695" s="3"/>
      <c r="R695" s="3"/>
    </row>
    <row r="696" spans="1:18" ht="40" customHeight="1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M696" s="3"/>
      <c r="N696" s="3"/>
      <c r="O696" s="3"/>
      <c r="P696" s="3"/>
      <c r="R696" s="3"/>
    </row>
    <row r="697" spans="1:18" ht="40" customHeight="1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M697" s="3"/>
      <c r="N697" s="3"/>
      <c r="O697" s="3"/>
      <c r="P697" s="3"/>
      <c r="R697" s="3"/>
    </row>
    <row r="698" spans="1:18" ht="40" customHeight="1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M698" s="3"/>
      <c r="N698" s="3"/>
      <c r="O698" s="3"/>
      <c r="P698" s="3"/>
      <c r="R698" s="3"/>
    </row>
    <row r="699" spans="1:18" ht="40" customHeight="1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M699" s="3"/>
      <c r="N699" s="3"/>
      <c r="O699" s="3"/>
      <c r="P699" s="3"/>
      <c r="R699" s="3"/>
    </row>
    <row r="700" spans="1:18" ht="40" customHeight="1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M700" s="3"/>
      <c r="N700" s="3"/>
      <c r="O700" s="3"/>
      <c r="P700" s="3"/>
      <c r="R700" s="3"/>
    </row>
    <row r="701" spans="1:18" ht="40" customHeight="1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M701" s="3"/>
      <c r="N701" s="3"/>
      <c r="O701" s="3"/>
      <c r="P701" s="3"/>
      <c r="R701" s="3"/>
    </row>
    <row r="702" spans="1:18" ht="40" customHeight="1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M702" s="3"/>
      <c r="N702" s="3"/>
      <c r="O702" s="3"/>
      <c r="P702" s="3"/>
      <c r="R702" s="3"/>
    </row>
    <row r="703" spans="1:18" ht="40" customHeight="1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M703" s="3"/>
      <c r="N703" s="3"/>
      <c r="O703" s="3"/>
      <c r="P703" s="3"/>
      <c r="R703" s="3"/>
    </row>
    <row r="704" spans="1:18" ht="40" customHeight="1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M704" s="3"/>
      <c r="N704" s="3"/>
      <c r="O704" s="3"/>
      <c r="P704" s="3"/>
      <c r="R704" s="3"/>
    </row>
    <row r="705" spans="1:18" ht="40" customHeight="1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M705" s="3"/>
      <c r="N705" s="3"/>
      <c r="O705" s="3"/>
      <c r="P705" s="3"/>
      <c r="R705" s="3"/>
    </row>
    <row r="706" spans="1:18" ht="40" customHeight="1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M706" s="3"/>
      <c r="N706" s="3"/>
      <c r="O706" s="3"/>
      <c r="P706" s="3"/>
      <c r="R706" s="3"/>
    </row>
    <row r="707" spans="1:18" ht="40" customHeight="1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M707" s="3"/>
      <c r="N707" s="3"/>
      <c r="O707" s="3"/>
      <c r="P707" s="3"/>
      <c r="R707" s="3"/>
    </row>
    <row r="708" spans="1:18" ht="40" customHeight="1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M708" s="3"/>
      <c r="N708" s="3"/>
      <c r="O708" s="3"/>
      <c r="P708" s="3"/>
      <c r="R708" s="3"/>
    </row>
    <row r="709" spans="1:18" ht="40" customHeight="1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M709" s="3"/>
      <c r="N709" s="3"/>
      <c r="O709" s="3"/>
      <c r="P709" s="3"/>
      <c r="R709" s="3"/>
    </row>
    <row r="710" spans="1:18" ht="40" customHeight="1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M710" s="3"/>
      <c r="N710" s="3"/>
      <c r="O710" s="3"/>
      <c r="P710" s="3"/>
      <c r="R710" s="3"/>
    </row>
    <row r="711" spans="1:18" ht="40" customHeight="1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M711" s="3"/>
      <c r="N711" s="3"/>
      <c r="O711" s="3"/>
      <c r="P711" s="3"/>
      <c r="R711" s="3"/>
    </row>
    <row r="712" spans="1:18" ht="40" customHeight="1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M712" s="3"/>
      <c r="N712" s="3"/>
      <c r="O712" s="3"/>
      <c r="P712" s="3"/>
      <c r="R712" s="3"/>
    </row>
    <row r="713" spans="1:18" ht="40" customHeight="1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M713" s="3"/>
      <c r="N713" s="3"/>
      <c r="O713" s="3"/>
      <c r="P713" s="3"/>
      <c r="R713" s="3"/>
    </row>
    <row r="714" spans="1:18" ht="40" customHeight="1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M714" s="3"/>
      <c r="N714" s="3"/>
      <c r="O714" s="3"/>
      <c r="P714" s="3"/>
      <c r="R714" s="3"/>
    </row>
    <row r="715" spans="1:18" ht="40" customHeight="1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M715" s="3"/>
      <c r="N715" s="3"/>
      <c r="O715" s="3"/>
      <c r="P715" s="3"/>
      <c r="R715" s="3"/>
    </row>
    <row r="716" spans="1:18" ht="40" customHeight="1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M716" s="3"/>
      <c r="N716" s="3"/>
      <c r="O716" s="3"/>
      <c r="P716" s="3"/>
      <c r="R716" s="3"/>
    </row>
    <row r="717" spans="1:18" ht="40" customHeight="1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M717" s="3"/>
      <c r="N717" s="3"/>
      <c r="O717" s="3"/>
      <c r="P717" s="3"/>
      <c r="R717" s="3"/>
    </row>
    <row r="718" spans="1:18" ht="40" customHeight="1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M718" s="3"/>
      <c r="N718" s="3"/>
      <c r="O718" s="3"/>
      <c r="P718" s="3"/>
      <c r="R718" s="3"/>
    </row>
    <row r="719" spans="1:18" ht="40" customHeight="1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M719" s="3"/>
      <c r="N719" s="3"/>
      <c r="O719" s="3"/>
      <c r="P719" s="3"/>
      <c r="R719" s="3"/>
    </row>
    <row r="720" spans="1:18" ht="40" customHeight="1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M720" s="3"/>
      <c r="N720" s="3"/>
      <c r="O720" s="3"/>
      <c r="P720" s="3"/>
      <c r="R720" s="3"/>
    </row>
    <row r="721" spans="1:18" ht="40" customHeight="1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M721" s="3"/>
      <c r="N721" s="3"/>
      <c r="O721" s="3"/>
      <c r="P721" s="3"/>
      <c r="R721" s="3"/>
    </row>
    <row r="722" spans="1:18" ht="40" customHeight="1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M722" s="3"/>
      <c r="N722" s="3"/>
      <c r="O722" s="3"/>
      <c r="P722" s="3"/>
      <c r="R722" s="3"/>
    </row>
    <row r="723" spans="1:18" ht="40" customHeight="1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M723" s="3"/>
      <c r="N723" s="3"/>
      <c r="O723" s="3"/>
      <c r="P723" s="3"/>
      <c r="R723" s="3"/>
    </row>
    <row r="724" spans="1:18" ht="40" customHeight="1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M724" s="3"/>
      <c r="N724" s="3"/>
      <c r="O724" s="3"/>
      <c r="P724" s="3"/>
      <c r="R724" s="3"/>
    </row>
    <row r="725" spans="1:18" ht="40" customHeight="1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M725" s="3"/>
      <c r="N725" s="3"/>
      <c r="O725" s="3"/>
      <c r="P725" s="3"/>
      <c r="R725" s="3"/>
    </row>
    <row r="726" spans="1:18" ht="40" customHeight="1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M726" s="3"/>
      <c r="N726" s="3"/>
      <c r="O726" s="3"/>
      <c r="P726" s="3"/>
      <c r="R726" s="3"/>
    </row>
    <row r="727" spans="1:18" ht="40" customHeight="1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M727" s="3"/>
      <c r="N727" s="3"/>
      <c r="O727" s="3"/>
      <c r="P727" s="3"/>
      <c r="R727" s="3"/>
    </row>
    <row r="728" spans="1:18" ht="40" customHeight="1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M728" s="3"/>
      <c r="N728" s="3"/>
      <c r="O728" s="3"/>
      <c r="P728" s="3"/>
      <c r="R728" s="3"/>
    </row>
    <row r="729" spans="1:18" ht="40" customHeight="1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M729" s="3"/>
      <c r="N729" s="3"/>
      <c r="O729" s="3"/>
      <c r="P729" s="3"/>
      <c r="R729" s="3"/>
    </row>
    <row r="730" spans="1:18" ht="40" customHeight="1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M730" s="3"/>
      <c r="N730" s="3"/>
      <c r="O730" s="3"/>
      <c r="P730" s="3"/>
      <c r="R730" s="3"/>
    </row>
    <row r="731" spans="1:18" ht="40" customHeight="1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M731" s="3"/>
      <c r="N731" s="3"/>
      <c r="O731" s="3"/>
      <c r="P731" s="3"/>
      <c r="R731" s="3"/>
    </row>
    <row r="732" spans="1:18" ht="40" customHeight="1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M732" s="3"/>
      <c r="N732" s="3"/>
      <c r="O732" s="3"/>
      <c r="P732" s="3"/>
      <c r="R732" s="3"/>
    </row>
    <row r="733" spans="1:18" ht="40" customHeight="1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M733" s="3"/>
      <c r="N733" s="3"/>
      <c r="O733" s="3"/>
      <c r="P733" s="3"/>
      <c r="R733" s="3"/>
    </row>
    <row r="734" spans="1:18" ht="40" customHeight="1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M734" s="3"/>
      <c r="N734" s="3"/>
      <c r="O734" s="3"/>
      <c r="P734" s="3"/>
      <c r="R734" s="3"/>
    </row>
    <row r="735" spans="1:18" ht="40" customHeight="1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M735" s="3"/>
      <c r="N735" s="3"/>
      <c r="O735" s="3"/>
      <c r="P735" s="3"/>
      <c r="R735" s="3"/>
    </row>
    <row r="736" spans="1:18" ht="40" customHeight="1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M736" s="3"/>
      <c r="N736" s="3"/>
      <c r="O736" s="3"/>
      <c r="P736" s="3"/>
      <c r="R736" s="3"/>
    </row>
    <row r="737" spans="1:18" ht="40" customHeight="1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M737" s="3"/>
      <c r="N737" s="3"/>
      <c r="O737" s="3"/>
      <c r="P737" s="3"/>
      <c r="R737" s="3"/>
    </row>
    <row r="738" spans="1:18" ht="40" customHeight="1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M738" s="3"/>
      <c r="N738" s="3"/>
      <c r="O738" s="3"/>
      <c r="P738" s="3"/>
      <c r="R738" s="3"/>
    </row>
    <row r="739" spans="1:18" ht="40" customHeight="1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M739" s="3"/>
      <c r="N739" s="3"/>
      <c r="O739" s="3"/>
      <c r="P739" s="3"/>
      <c r="R739" s="3"/>
    </row>
    <row r="740" spans="1:18" ht="40" customHeight="1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M740" s="3"/>
      <c r="N740" s="3"/>
      <c r="O740" s="3"/>
      <c r="P740" s="3"/>
      <c r="R740" s="3"/>
    </row>
    <row r="741" spans="1:18" ht="40" customHeight="1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M741" s="3"/>
      <c r="N741" s="3"/>
      <c r="O741" s="3"/>
      <c r="P741" s="3"/>
      <c r="R741" s="3"/>
    </row>
    <row r="742" spans="1:18" ht="40" customHeight="1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M742" s="3"/>
      <c r="N742" s="3"/>
      <c r="O742" s="3"/>
      <c r="P742" s="3"/>
      <c r="R742" s="3"/>
    </row>
    <row r="743" spans="1:18" ht="40" customHeight="1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M743" s="3"/>
      <c r="N743" s="3"/>
      <c r="O743" s="3"/>
      <c r="P743" s="3"/>
      <c r="R743" s="3"/>
    </row>
    <row r="744" spans="1:18" ht="40" customHeight="1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M744" s="3"/>
      <c r="N744" s="3"/>
      <c r="O744" s="3"/>
      <c r="P744" s="3"/>
      <c r="R744" s="3"/>
    </row>
    <row r="745" spans="1:18" ht="40" customHeight="1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M745" s="3"/>
      <c r="N745" s="3"/>
      <c r="O745" s="3"/>
      <c r="P745" s="3"/>
      <c r="R745" s="3"/>
    </row>
    <row r="746" spans="1:18" ht="40" customHeight="1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M746" s="3"/>
      <c r="N746" s="3"/>
      <c r="O746" s="3"/>
      <c r="P746" s="3"/>
      <c r="R746" s="3"/>
    </row>
    <row r="747" spans="1:18" ht="40" customHeight="1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M747" s="3"/>
      <c r="N747" s="3"/>
      <c r="O747" s="3"/>
      <c r="P747" s="3"/>
      <c r="R747" s="3"/>
    </row>
    <row r="748" spans="1:18" ht="40" customHeight="1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M748" s="3"/>
      <c r="N748" s="3"/>
      <c r="O748" s="3"/>
      <c r="P748" s="3"/>
      <c r="R748" s="3"/>
    </row>
    <row r="749" spans="1:18" ht="40" customHeight="1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M749" s="3"/>
      <c r="N749" s="3"/>
      <c r="O749" s="3"/>
      <c r="P749" s="3"/>
      <c r="R749" s="3"/>
    </row>
    <row r="750" spans="1:18" ht="40" customHeight="1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M750" s="3"/>
      <c r="N750" s="3"/>
      <c r="O750" s="3"/>
      <c r="P750" s="3"/>
      <c r="R750" s="3"/>
    </row>
    <row r="751" spans="1:18" ht="40" customHeight="1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M751" s="3"/>
      <c r="N751" s="3"/>
      <c r="O751" s="3"/>
      <c r="P751" s="3"/>
      <c r="R751" s="3"/>
    </row>
    <row r="752" spans="1:18" ht="40" customHeight="1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M752" s="3"/>
      <c r="N752" s="3"/>
      <c r="O752" s="3"/>
      <c r="P752" s="3"/>
      <c r="R752" s="3"/>
    </row>
    <row r="753" spans="1:18" ht="40" customHeight="1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M753" s="3"/>
      <c r="N753" s="3"/>
      <c r="O753" s="3"/>
      <c r="P753" s="3"/>
      <c r="R753" s="3"/>
    </row>
    <row r="754" spans="1:18" ht="40" customHeight="1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M754" s="3"/>
      <c r="N754" s="3"/>
      <c r="O754" s="3"/>
      <c r="P754" s="3"/>
      <c r="R754" s="3"/>
    </row>
    <row r="755" spans="1:18" ht="40" customHeight="1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M755" s="3"/>
      <c r="N755" s="3"/>
      <c r="O755" s="3"/>
      <c r="P755" s="3"/>
      <c r="R755" s="3"/>
    </row>
    <row r="756" spans="1:18" ht="40" customHeight="1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M756" s="3"/>
      <c r="N756" s="3"/>
      <c r="O756" s="3"/>
      <c r="P756" s="3"/>
      <c r="R756" s="3"/>
    </row>
    <row r="757" spans="1:18" ht="40" customHeight="1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M757" s="3"/>
      <c r="N757" s="3"/>
      <c r="O757" s="3"/>
      <c r="P757" s="3"/>
      <c r="R757" s="3"/>
    </row>
    <row r="758" spans="1:18" ht="40" customHeight="1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M758" s="3"/>
      <c r="N758" s="3"/>
      <c r="O758" s="3"/>
      <c r="P758" s="3"/>
      <c r="R758" s="3"/>
    </row>
    <row r="759" spans="1:18" ht="40" customHeight="1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M759" s="3"/>
      <c r="N759" s="3"/>
      <c r="O759" s="3"/>
      <c r="P759" s="3"/>
      <c r="R759" s="3"/>
    </row>
    <row r="760" spans="1:18" ht="40" customHeight="1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M760" s="3"/>
      <c r="N760" s="3"/>
      <c r="O760" s="3"/>
      <c r="P760" s="3"/>
      <c r="R760" s="3"/>
    </row>
    <row r="761" spans="1:18" ht="40" customHeight="1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M761" s="3"/>
      <c r="N761" s="3"/>
      <c r="O761" s="3"/>
      <c r="P761" s="3"/>
      <c r="R761" s="3"/>
    </row>
    <row r="762" spans="1:18" ht="40" customHeight="1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M762" s="3"/>
      <c r="N762" s="3"/>
      <c r="O762" s="3"/>
      <c r="P762" s="3"/>
      <c r="R762" s="3"/>
    </row>
    <row r="763" spans="1:18" ht="40" customHeight="1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M763" s="3"/>
      <c r="N763" s="3"/>
      <c r="O763" s="3"/>
      <c r="P763" s="3"/>
      <c r="R763" s="3"/>
    </row>
    <row r="764" spans="1:18" ht="40" customHeight="1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M764" s="3"/>
      <c r="N764" s="3"/>
      <c r="O764" s="3"/>
      <c r="P764" s="3"/>
      <c r="R764" s="3"/>
    </row>
    <row r="765" spans="1:18" ht="40" customHeight="1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M765" s="3"/>
      <c r="N765" s="3"/>
      <c r="O765" s="3"/>
      <c r="P765" s="3"/>
      <c r="R765" s="3"/>
    </row>
    <row r="766" spans="1:18" ht="40" customHeight="1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M766" s="3"/>
      <c r="N766" s="3"/>
      <c r="O766" s="3"/>
      <c r="P766" s="3"/>
      <c r="R766" s="3"/>
    </row>
    <row r="767" spans="1:18" ht="40" customHeight="1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M767" s="3"/>
      <c r="N767" s="3"/>
      <c r="O767" s="3"/>
      <c r="P767" s="3"/>
      <c r="R767" s="3"/>
    </row>
    <row r="768" spans="1:18" ht="40" customHeight="1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M768" s="3"/>
      <c r="N768" s="3"/>
      <c r="O768" s="3"/>
      <c r="P768" s="3"/>
      <c r="R768" s="3"/>
    </row>
    <row r="769" spans="1:18" ht="40" customHeight="1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M769" s="3"/>
      <c r="N769" s="3"/>
      <c r="O769" s="3"/>
      <c r="P769" s="3"/>
      <c r="R769" s="3"/>
    </row>
    <row r="770" spans="1:18" ht="40" customHeight="1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M770" s="3"/>
      <c r="N770" s="3"/>
      <c r="O770" s="3"/>
      <c r="P770" s="3"/>
      <c r="R770" s="3"/>
    </row>
    <row r="771" spans="1:18" ht="40" customHeight="1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M771" s="3"/>
      <c r="N771" s="3"/>
      <c r="O771" s="3"/>
      <c r="P771" s="3"/>
      <c r="R771" s="3"/>
    </row>
    <row r="772" spans="1:18" ht="40" customHeight="1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M772" s="3"/>
      <c r="N772" s="3"/>
      <c r="O772" s="3"/>
      <c r="P772" s="3"/>
      <c r="R772" s="3"/>
    </row>
    <row r="773" spans="1:18" ht="40" customHeight="1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M773" s="3"/>
      <c r="N773" s="3"/>
      <c r="O773" s="3"/>
      <c r="P773" s="3"/>
      <c r="R773" s="3"/>
    </row>
    <row r="774" spans="1:18" ht="40" customHeight="1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M774" s="3"/>
      <c r="N774" s="3"/>
      <c r="O774" s="3"/>
      <c r="P774" s="3"/>
      <c r="R774" s="3"/>
    </row>
    <row r="775" spans="1:18" ht="40" customHeight="1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M775" s="3"/>
      <c r="N775" s="3"/>
      <c r="O775" s="3"/>
      <c r="P775" s="3"/>
      <c r="R775" s="3"/>
    </row>
    <row r="776" spans="1:18" ht="40" customHeight="1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M776" s="3"/>
      <c r="N776" s="3"/>
      <c r="O776" s="3"/>
      <c r="P776" s="3"/>
      <c r="R776" s="3"/>
    </row>
    <row r="777" spans="1:18" ht="40" customHeight="1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M777" s="3"/>
      <c r="N777" s="3"/>
      <c r="O777" s="3"/>
      <c r="P777" s="3"/>
      <c r="R777" s="3"/>
    </row>
    <row r="778" spans="1:18" ht="40" customHeight="1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M778" s="3"/>
      <c r="N778" s="3"/>
      <c r="O778" s="3"/>
      <c r="P778" s="3"/>
      <c r="R778" s="3"/>
    </row>
    <row r="779" spans="1:18" ht="40" customHeight="1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M779" s="3"/>
      <c r="N779" s="3"/>
      <c r="O779" s="3"/>
      <c r="P779" s="3"/>
      <c r="R779" s="3"/>
    </row>
    <row r="780" spans="1:18" ht="40" customHeight="1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M780" s="3"/>
      <c r="N780" s="3"/>
      <c r="O780" s="3"/>
      <c r="P780" s="3"/>
      <c r="R780" s="3"/>
    </row>
    <row r="781" spans="1:18" ht="40" customHeight="1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M781" s="3"/>
      <c r="N781" s="3"/>
      <c r="O781" s="3"/>
      <c r="P781" s="3"/>
      <c r="R781" s="3"/>
    </row>
    <row r="782" spans="1:18" ht="40" customHeight="1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M782" s="3"/>
      <c r="N782" s="3"/>
      <c r="O782" s="3"/>
      <c r="P782" s="3"/>
      <c r="R782" s="3"/>
    </row>
    <row r="783" spans="1:18" ht="40" customHeight="1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M783" s="3"/>
      <c r="N783" s="3"/>
      <c r="O783" s="3"/>
      <c r="P783" s="3"/>
      <c r="R783" s="3"/>
    </row>
    <row r="784" spans="1:18" ht="40" customHeight="1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M784" s="3"/>
      <c r="N784" s="3"/>
      <c r="O784" s="3"/>
      <c r="P784" s="3"/>
      <c r="R784" s="3"/>
    </row>
    <row r="785" spans="1:18" ht="40" customHeight="1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M785" s="3"/>
      <c r="N785" s="3"/>
      <c r="O785" s="3"/>
      <c r="P785" s="3"/>
      <c r="R785" s="3"/>
    </row>
    <row r="786" spans="1:18" ht="40" customHeight="1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M786" s="3"/>
      <c r="N786" s="3"/>
      <c r="O786" s="3"/>
      <c r="P786" s="3"/>
      <c r="R786" s="3"/>
    </row>
    <row r="787" spans="1:18" ht="40" customHeight="1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M787" s="3"/>
      <c r="N787" s="3"/>
      <c r="O787" s="3"/>
      <c r="P787" s="3"/>
      <c r="R787" s="3"/>
    </row>
    <row r="788" spans="1:18" ht="40" customHeight="1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M788" s="3"/>
      <c r="N788" s="3"/>
      <c r="O788" s="3"/>
      <c r="P788" s="3"/>
      <c r="R788" s="3"/>
    </row>
    <row r="789" spans="1:18" ht="40" customHeight="1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M789" s="3"/>
      <c r="N789" s="3"/>
      <c r="O789" s="3"/>
      <c r="P789" s="3"/>
      <c r="R789" s="3"/>
    </row>
    <row r="790" spans="1:18" ht="40" customHeight="1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M790" s="3"/>
      <c r="N790" s="3"/>
      <c r="O790" s="3"/>
      <c r="P790" s="3"/>
      <c r="R790" s="3"/>
    </row>
    <row r="791" spans="1:18" ht="40" customHeight="1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M791" s="3"/>
      <c r="N791" s="3"/>
      <c r="O791" s="3"/>
      <c r="P791" s="3"/>
      <c r="R791" s="3"/>
    </row>
    <row r="792" spans="1:18" ht="40" customHeight="1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M792" s="3"/>
      <c r="N792" s="3"/>
      <c r="O792" s="3"/>
      <c r="P792" s="3"/>
      <c r="R792" s="3"/>
    </row>
    <row r="793" spans="1:18" ht="40" customHeight="1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M793" s="3"/>
      <c r="N793" s="3"/>
      <c r="O793" s="3"/>
      <c r="P793" s="3"/>
      <c r="R793" s="3"/>
    </row>
    <row r="794" spans="1:18" ht="40" customHeight="1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M794" s="3"/>
      <c r="N794" s="3"/>
      <c r="O794" s="3"/>
      <c r="P794" s="3"/>
      <c r="R794" s="3"/>
    </row>
    <row r="795" spans="1:18" ht="40" customHeight="1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M795" s="3"/>
      <c r="N795" s="3"/>
      <c r="O795" s="3"/>
      <c r="P795" s="3"/>
      <c r="R795" s="3"/>
    </row>
    <row r="796" spans="1:18" ht="40" customHeight="1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M796" s="3"/>
      <c r="N796" s="3"/>
      <c r="O796" s="3"/>
      <c r="P796" s="3"/>
      <c r="R796" s="3"/>
    </row>
    <row r="797" spans="1:18" ht="40" customHeight="1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M797" s="3"/>
      <c r="N797" s="3"/>
      <c r="O797" s="3"/>
      <c r="P797" s="3"/>
      <c r="R797" s="3"/>
    </row>
    <row r="798" spans="1:18" ht="40" customHeight="1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M798" s="3"/>
      <c r="N798" s="3"/>
      <c r="O798" s="3"/>
      <c r="P798" s="3"/>
      <c r="R798" s="3"/>
    </row>
    <row r="799" spans="1:18" ht="40" customHeight="1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M799" s="3"/>
      <c r="N799" s="3"/>
      <c r="O799" s="3"/>
      <c r="P799" s="3"/>
      <c r="R799" s="3"/>
    </row>
    <row r="800" spans="1:18" ht="40" customHeight="1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M800" s="3"/>
      <c r="N800" s="3"/>
      <c r="O800" s="3"/>
      <c r="P800" s="3"/>
      <c r="R800" s="3"/>
    </row>
    <row r="801" spans="1:18" ht="40" customHeight="1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M801" s="3"/>
      <c r="N801" s="3"/>
      <c r="O801" s="3"/>
      <c r="P801" s="3"/>
      <c r="R801" s="3"/>
    </row>
    <row r="802" spans="1:18" ht="40" customHeight="1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M802" s="3"/>
      <c r="N802" s="3"/>
      <c r="O802" s="3"/>
      <c r="P802" s="3"/>
      <c r="R802" s="3"/>
    </row>
    <row r="803" spans="1:18" ht="40" customHeight="1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M803" s="3"/>
      <c r="N803" s="3"/>
      <c r="O803" s="3"/>
      <c r="P803" s="3"/>
      <c r="R803" s="3"/>
    </row>
    <row r="804" spans="1:18" ht="40" customHeight="1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M804" s="3"/>
      <c r="N804" s="3"/>
      <c r="O804" s="3"/>
      <c r="P804" s="3"/>
      <c r="R804" s="3"/>
    </row>
    <row r="805" spans="1:18" ht="40" customHeight="1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M805" s="3"/>
      <c r="N805" s="3"/>
      <c r="O805" s="3"/>
      <c r="P805" s="3"/>
      <c r="R805" s="3"/>
    </row>
    <row r="806" spans="1:18" ht="40" customHeight="1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M806" s="3"/>
      <c r="N806" s="3"/>
      <c r="O806" s="3"/>
      <c r="P806" s="3"/>
      <c r="R806" s="3"/>
    </row>
    <row r="807" spans="1:18" ht="40" customHeight="1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M807" s="3"/>
      <c r="N807" s="3"/>
      <c r="O807" s="3"/>
      <c r="P807" s="3"/>
      <c r="R807" s="3"/>
    </row>
    <row r="808" spans="1:18" ht="40" customHeight="1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M808" s="3"/>
      <c r="N808" s="3"/>
      <c r="O808" s="3"/>
      <c r="P808" s="3"/>
      <c r="R808" s="3"/>
    </row>
    <row r="809" spans="1:18" ht="40" customHeight="1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M809" s="3"/>
      <c r="N809" s="3"/>
      <c r="O809" s="3"/>
      <c r="P809" s="3"/>
      <c r="R809" s="3"/>
    </row>
    <row r="810" spans="1:18" ht="40" customHeight="1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M810" s="3"/>
      <c r="N810" s="3"/>
      <c r="O810" s="3"/>
      <c r="P810" s="3"/>
      <c r="R810" s="3"/>
    </row>
    <row r="811" spans="1:18" ht="40" customHeight="1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M811" s="3"/>
      <c r="N811" s="3"/>
      <c r="O811" s="3"/>
      <c r="P811" s="3"/>
      <c r="R811" s="3"/>
    </row>
    <row r="812" spans="1:18" ht="40" customHeight="1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M812" s="3"/>
      <c r="N812" s="3"/>
      <c r="O812" s="3"/>
      <c r="P812" s="3"/>
      <c r="R812" s="3"/>
    </row>
    <row r="813" spans="1:18" ht="40" customHeight="1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M813" s="3"/>
      <c r="N813" s="3"/>
      <c r="O813" s="3"/>
      <c r="P813" s="3"/>
      <c r="R813" s="3"/>
    </row>
    <row r="814" spans="1:18" ht="40" customHeight="1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M814" s="3"/>
      <c r="N814" s="3"/>
      <c r="O814" s="3"/>
      <c r="P814" s="3"/>
      <c r="R814" s="3"/>
    </row>
    <row r="815" spans="1:18" ht="40" customHeight="1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M815" s="3"/>
      <c r="N815" s="3"/>
      <c r="O815" s="3"/>
      <c r="P815" s="3"/>
      <c r="R815" s="3"/>
    </row>
    <row r="816" spans="1:18" ht="40" customHeight="1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M816" s="3"/>
      <c r="N816" s="3"/>
      <c r="O816" s="3"/>
      <c r="P816" s="3"/>
      <c r="R816" s="3"/>
    </row>
    <row r="817" spans="1:18" ht="40" customHeight="1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M817" s="3"/>
      <c r="N817" s="3"/>
      <c r="O817" s="3"/>
      <c r="P817" s="3"/>
      <c r="R817" s="3"/>
    </row>
    <row r="818" spans="1:18" ht="40" customHeight="1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M818" s="3"/>
      <c r="N818" s="3"/>
      <c r="O818" s="3"/>
      <c r="P818" s="3"/>
      <c r="R818" s="3"/>
    </row>
    <row r="819" spans="1:18" ht="40" customHeight="1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M819" s="3"/>
      <c r="N819" s="3"/>
      <c r="O819" s="3"/>
      <c r="P819" s="3"/>
      <c r="R819" s="3"/>
    </row>
    <row r="820" spans="1:18" ht="40" customHeight="1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M820" s="3"/>
      <c r="N820" s="3"/>
      <c r="O820" s="3"/>
      <c r="P820" s="3"/>
      <c r="R820" s="3"/>
    </row>
    <row r="821" spans="1:18" ht="40" customHeight="1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M821" s="3"/>
      <c r="N821" s="3"/>
      <c r="O821" s="3"/>
      <c r="P821" s="3"/>
      <c r="R821" s="3"/>
    </row>
    <row r="822" spans="1:18" ht="40" customHeight="1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M822" s="3"/>
      <c r="N822" s="3"/>
      <c r="O822" s="3"/>
      <c r="P822" s="3"/>
      <c r="R822" s="3"/>
    </row>
    <row r="823" spans="1:18" ht="40" customHeight="1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M823" s="3"/>
      <c r="N823" s="3"/>
      <c r="O823" s="3"/>
      <c r="P823" s="3"/>
      <c r="R823" s="3"/>
    </row>
    <row r="824" spans="1:18" ht="40" customHeight="1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M824" s="3"/>
      <c r="N824" s="3"/>
      <c r="O824" s="3"/>
      <c r="P824" s="3"/>
      <c r="R824" s="3"/>
    </row>
    <row r="825" spans="1:18" ht="40" customHeight="1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M825" s="3"/>
      <c r="N825" s="3"/>
      <c r="O825" s="3"/>
      <c r="P825" s="3"/>
      <c r="R825" s="3"/>
    </row>
    <row r="826" spans="1:18" ht="40" customHeight="1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M826" s="3"/>
      <c r="N826" s="3"/>
      <c r="O826" s="3"/>
      <c r="P826" s="3"/>
      <c r="R826" s="3"/>
    </row>
    <row r="827" spans="1:18" ht="40" customHeight="1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M827" s="3"/>
      <c r="N827" s="3"/>
      <c r="O827" s="3"/>
      <c r="P827" s="3"/>
      <c r="R827" s="3"/>
    </row>
    <row r="828" spans="1:18" ht="40" customHeight="1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M828" s="3"/>
      <c r="N828" s="3"/>
      <c r="O828" s="3"/>
      <c r="P828" s="3"/>
      <c r="R828" s="3"/>
    </row>
    <row r="829" spans="1:18" ht="40" customHeight="1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M829" s="3"/>
      <c r="N829" s="3"/>
      <c r="O829" s="3"/>
      <c r="P829" s="3"/>
      <c r="R829" s="3"/>
    </row>
    <row r="830" spans="1:18" ht="40" customHeight="1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M830" s="3"/>
      <c r="N830" s="3"/>
      <c r="O830" s="3"/>
      <c r="P830" s="3"/>
      <c r="R830" s="3"/>
    </row>
    <row r="831" spans="1:18" ht="40" customHeight="1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M831" s="3"/>
      <c r="N831" s="3"/>
      <c r="O831" s="3"/>
      <c r="P831" s="3"/>
      <c r="R831" s="3"/>
    </row>
    <row r="832" spans="1:18" ht="40" customHeight="1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M832" s="3"/>
      <c r="N832" s="3"/>
      <c r="O832" s="3"/>
      <c r="P832" s="3"/>
      <c r="R832" s="3"/>
    </row>
    <row r="833" spans="1:18" ht="40" customHeight="1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M833" s="3"/>
      <c r="N833" s="3"/>
      <c r="O833" s="3"/>
      <c r="P833" s="3"/>
      <c r="R833" s="3"/>
    </row>
    <row r="834" spans="1:18" ht="40" customHeight="1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M834" s="3"/>
      <c r="N834" s="3"/>
      <c r="O834" s="3"/>
      <c r="P834" s="3"/>
      <c r="R834" s="3"/>
    </row>
    <row r="835" spans="1:18" ht="40" customHeight="1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M835" s="3"/>
      <c r="N835" s="3"/>
      <c r="O835" s="3"/>
      <c r="P835" s="3"/>
      <c r="R835" s="3"/>
    </row>
    <row r="836" spans="1:18" ht="40" customHeight="1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M836" s="3"/>
      <c r="N836" s="3"/>
      <c r="O836" s="3"/>
      <c r="P836" s="3"/>
      <c r="R836" s="3"/>
    </row>
    <row r="837" spans="1:18" ht="40" customHeight="1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M837" s="3"/>
      <c r="N837" s="3"/>
      <c r="O837" s="3"/>
      <c r="P837" s="3"/>
      <c r="R837" s="3"/>
    </row>
    <row r="838" spans="1:18" ht="40" customHeight="1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M838" s="3"/>
      <c r="N838" s="3"/>
      <c r="O838" s="3"/>
      <c r="P838" s="3"/>
      <c r="R838" s="3"/>
    </row>
    <row r="839" spans="1:18" ht="40" customHeight="1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M839" s="3"/>
      <c r="N839" s="3"/>
      <c r="O839" s="3"/>
      <c r="P839" s="3"/>
      <c r="R839" s="3"/>
    </row>
    <row r="840" spans="1:18" ht="40" customHeight="1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M840" s="3"/>
      <c r="N840" s="3"/>
      <c r="O840" s="3"/>
      <c r="P840" s="3"/>
      <c r="R840" s="3"/>
    </row>
    <row r="841" spans="1:18" ht="40" customHeight="1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M841" s="3"/>
      <c r="N841" s="3"/>
      <c r="O841" s="3"/>
      <c r="P841" s="3"/>
      <c r="R841" s="3"/>
    </row>
    <row r="842" spans="1:18" ht="40" customHeight="1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M842" s="3"/>
      <c r="N842" s="3"/>
      <c r="O842" s="3"/>
      <c r="P842" s="3"/>
      <c r="R842" s="3"/>
    </row>
    <row r="843" spans="1:18" ht="40" customHeight="1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M843" s="3"/>
      <c r="N843" s="3"/>
      <c r="O843" s="3"/>
      <c r="P843" s="3"/>
      <c r="R843" s="3"/>
    </row>
    <row r="844" spans="1:18" ht="40" customHeight="1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M844" s="3"/>
      <c r="N844" s="3"/>
      <c r="O844" s="3"/>
      <c r="P844" s="3"/>
      <c r="R844" s="3"/>
    </row>
    <row r="845" spans="1:18" ht="40" customHeight="1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M845" s="3"/>
      <c r="N845" s="3"/>
      <c r="O845" s="3"/>
      <c r="P845" s="3"/>
      <c r="R845" s="3"/>
    </row>
    <row r="846" spans="1:18" ht="40" customHeight="1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M846" s="3"/>
      <c r="N846" s="3"/>
      <c r="O846" s="3"/>
      <c r="P846" s="3"/>
      <c r="R846" s="3"/>
    </row>
    <row r="847" spans="1:18" ht="40" customHeight="1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M847" s="3"/>
      <c r="N847" s="3"/>
      <c r="O847" s="3"/>
      <c r="P847" s="3"/>
      <c r="R847" s="3"/>
    </row>
    <row r="848" spans="1:18" ht="40" customHeight="1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M848" s="3"/>
      <c r="N848" s="3"/>
      <c r="O848" s="3"/>
      <c r="P848" s="3"/>
      <c r="R848" s="3"/>
    </row>
    <row r="849" spans="1:18" ht="40" customHeight="1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M849" s="3"/>
      <c r="N849" s="3"/>
      <c r="O849" s="3"/>
      <c r="P849" s="3"/>
      <c r="R849" s="3"/>
    </row>
    <row r="850" spans="1:18" ht="40" customHeight="1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M850" s="3"/>
      <c r="N850" s="3"/>
      <c r="O850" s="3"/>
      <c r="P850" s="3"/>
      <c r="R850" s="3"/>
    </row>
    <row r="851" spans="1:18" ht="40" customHeight="1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M851" s="3"/>
      <c r="N851" s="3"/>
      <c r="O851" s="3"/>
      <c r="P851" s="3"/>
      <c r="R851" s="3"/>
    </row>
    <row r="852" spans="1:18" ht="40" customHeight="1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M852" s="3"/>
      <c r="N852" s="3"/>
      <c r="O852" s="3"/>
      <c r="P852" s="3"/>
      <c r="R852" s="3"/>
    </row>
    <row r="853" spans="1:18" ht="40" customHeight="1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M853" s="3"/>
      <c r="N853" s="3"/>
      <c r="O853" s="3"/>
      <c r="P853" s="3"/>
      <c r="R853" s="3"/>
    </row>
    <row r="854" spans="1:18" ht="40" customHeight="1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M854" s="3"/>
      <c r="N854" s="3"/>
      <c r="O854" s="3"/>
      <c r="P854" s="3"/>
      <c r="R854" s="3"/>
    </row>
    <row r="855" spans="1:18" ht="40" customHeight="1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M855" s="3"/>
      <c r="N855" s="3"/>
      <c r="O855" s="3"/>
      <c r="P855" s="3"/>
      <c r="R855" s="3"/>
    </row>
    <row r="856" spans="1:18" ht="40" customHeight="1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M856" s="3"/>
      <c r="N856" s="3"/>
      <c r="O856" s="3"/>
      <c r="P856" s="3"/>
      <c r="R856" s="3"/>
    </row>
    <row r="857" spans="1:18" ht="40" customHeight="1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M857" s="3"/>
      <c r="N857" s="3"/>
      <c r="O857" s="3"/>
      <c r="P857" s="3"/>
      <c r="R857" s="3"/>
    </row>
    <row r="858" spans="1:18" ht="40" customHeight="1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M858" s="3"/>
      <c r="N858" s="3"/>
      <c r="O858" s="3"/>
      <c r="P858" s="3"/>
      <c r="R858" s="3"/>
    </row>
    <row r="859" spans="1:18" ht="40" customHeight="1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M859" s="3"/>
      <c r="N859" s="3"/>
      <c r="O859" s="3"/>
      <c r="P859" s="3"/>
      <c r="R859" s="3"/>
    </row>
    <row r="860" spans="1:18" ht="40" customHeight="1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M860" s="3"/>
      <c r="N860" s="3"/>
      <c r="O860" s="3"/>
      <c r="P860" s="3"/>
      <c r="R860" s="3"/>
    </row>
    <row r="861" spans="1:18" ht="40" customHeight="1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M861" s="3"/>
      <c r="N861" s="3"/>
      <c r="O861" s="3"/>
      <c r="P861" s="3"/>
      <c r="R861" s="3"/>
    </row>
    <row r="862" spans="1:18" ht="40" customHeight="1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M862" s="3"/>
      <c r="N862" s="3"/>
      <c r="O862" s="3"/>
      <c r="P862" s="3"/>
      <c r="R862" s="3"/>
    </row>
    <row r="863" spans="1:18" ht="40" customHeight="1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M863" s="3"/>
      <c r="N863" s="3"/>
      <c r="O863" s="3"/>
      <c r="P863" s="3"/>
      <c r="R863" s="3"/>
    </row>
    <row r="864" spans="1:18" ht="40" customHeight="1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M864" s="3"/>
      <c r="N864" s="3"/>
      <c r="O864" s="3"/>
      <c r="P864" s="3"/>
      <c r="R864" s="3"/>
    </row>
    <row r="865" spans="1:18" ht="40" customHeight="1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M865" s="3"/>
      <c r="N865" s="3"/>
      <c r="O865" s="3"/>
      <c r="P865" s="3"/>
      <c r="R865" s="3"/>
    </row>
    <row r="866" spans="1:18" ht="40" customHeight="1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M866" s="3"/>
      <c r="N866" s="3"/>
      <c r="O866" s="3"/>
      <c r="P866" s="3"/>
      <c r="R866" s="3"/>
    </row>
    <row r="867" spans="1:18" ht="40" customHeight="1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M867" s="3"/>
      <c r="N867" s="3"/>
      <c r="O867" s="3"/>
      <c r="P867" s="3"/>
      <c r="R867" s="3"/>
    </row>
    <row r="868" spans="1:18" ht="40" customHeight="1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M868" s="3"/>
      <c r="N868" s="3"/>
      <c r="O868" s="3"/>
      <c r="P868" s="3"/>
      <c r="R868" s="3"/>
    </row>
    <row r="869" spans="1:18" ht="40" customHeight="1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M869" s="3"/>
      <c r="N869" s="3"/>
      <c r="O869" s="3"/>
      <c r="P869" s="3"/>
      <c r="R869" s="3"/>
    </row>
    <row r="870" spans="1:18" ht="40" customHeight="1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M870" s="3"/>
      <c r="N870" s="3"/>
      <c r="O870" s="3"/>
      <c r="P870" s="3"/>
      <c r="R870" s="3"/>
    </row>
    <row r="871" spans="1:18" ht="40" customHeight="1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M871" s="3"/>
      <c r="N871" s="3"/>
      <c r="O871" s="3"/>
      <c r="P871" s="3"/>
      <c r="R871" s="3"/>
    </row>
    <row r="872" spans="1:18" ht="40" customHeight="1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M872" s="3"/>
      <c r="N872" s="3"/>
      <c r="O872" s="3"/>
      <c r="P872" s="3"/>
      <c r="R872" s="3"/>
    </row>
    <row r="873" spans="1:18" ht="40" customHeight="1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M873" s="3"/>
      <c r="N873" s="3"/>
      <c r="O873" s="3"/>
      <c r="P873" s="3"/>
      <c r="R873" s="3"/>
    </row>
    <row r="874" spans="1:18" ht="40" customHeight="1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M874" s="3"/>
      <c r="N874" s="3"/>
      <c r="O874" s="3"/>
      <c r="P874" s="3"/>
      <c r="R874" s="3"/>
    </row>
    <row r="875" spans="1:18" ht="40" customHeight="1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M875" s="3"/>
      <c r="N875" s="3"/>
      <c r="O875" s="3"/>
      <c r="P875" s="3"/>
      <c r="R875" s="3"/>
    </row>
    <row r="876" spans="1:18" ht="40" customHeight="1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M876" s="3"/>
      <c r="N876" s="3"/>
      <c r="O876" s="3"/>
      <c r="P876" s="3"/>
      <c r="R876" s="3"/>
    </row>
    <row r="877" spans="1:18" ht="40" customHeight="1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M877" s="3"/>
      <c r="N877" s="3"/>
      <c r="O877" s="3"/>
      <c r="P877" s="3"/>
      <c r="R877" s="3"/>
    </row>
    <row r="878" spans="1:18" ht="40" customHeight="1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M878" s="3"/>
      <c r="N878" s="3"/>
      <c r="O878" s="3"/>
      <c r="P878" s="3"/>
      <c r="R878" s="3"/>
    </row>
    <row r="879" spans="1:18" ht="40" customHeight="1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M879" s="3"/>
      <c r="N879" s="3"/>
      <c r="O879" s="3"/>
      <c r="P879" s="3"/>
      <c r="R879" s="3"/>
    </row>
    <row r="880" spans="1:18" ht="40" customHeight="1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M880" s="3"/>
      <c r="N880" s="3"/>
      <c r="O880" s="3"/>
      <c r="P880" s="3"/>
      <c r="R880" s="3"/>
    </row>
    <row r="881" spans="1:18" ht="40" customHeight="1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M881" s="3"/>
      <c r="N881" s="3"/>
      <c r="O881" s="3"/>
      <c r="P881" s="3"/>
      <c r="R881" s="3"/>
    </row>
    <row r="882" spans="1:18" ht="40" customHeight="1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M882" s="3"/>
      <c r="N882" s="3"/>
      <c r="O882" s="3"/>
      <c r="P882" s="3"/>
      <c r="R882" s="3"/>
    </row>
    <row r="883" spans="1:18" ht="40" customHeight="1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M883" s="3"/>
      <c r="N883" s="3"/>
      <c r="O883" s="3"/>
      <c r="P883" s="3"/>
      <c r="R883" s="3"/>
    </row>
    <row r="884" spans="1:18" ht="40" customHeight="1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M884" s="3"/>
      <c r="N884" s="3"/>
      <c r="O884" s="3"/>
      <c r="P884" s="3"/>
      <c r="R884" s="3"/>
    </row>
    <row r="885" spans="1:18" ht="40" customHeight="1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M885" s="3"/>
      <c r="N885" s="3"/>
      <c r="O885" s="3"/>
      <c r="P885" s="3"/>
      <c r="R885" s="3"/>
    </row>
    <row r="886" spans="1:18" ht="40" customHeight="1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M886" s="3"/>
      <c r="N886" s="3"/>
      <c r="O886" s="3"/>
      <c r="P886" s="3"/>
      <c r="R886" s="3"/>
    </row>
    <row r="887" spans="1:18" ht="40" customHeight="1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M887" s="3"/>
      <c r="N887" s="3"/>
      <c r="O887" s="3"/>
      <c r="P887" s="3"/>
      <c r="R887" s="3"/>
    </row>
    <row r="888" spans="1:18" ht="40" customHeight="1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M888" s="3"/>
      <c r="N888" s="3"/>
      <c r="O888" s="3"/>
      <c r="P888" s="3"/>
      <c r="R888" s="3"/>
    </row>
    <row r="889" spans="1:18" ht="40" customHeight="1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M889" s="3"/>
      <c r="N889" s="3"/>
      <c r="O889" s="3"/>
      <c r="P889" s="3"/>
      <c r="R889" s="3"/>
    </row>
    <row r="890" spans="1:18" ht="40" customHeight="1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M890" s="3"/>
      <c r="N890" s="3"/>
      <c r="O890" s="3"/>
      <c r="P890" s="3"/>
      <c r="R890" s="3"/>
    </row>
    <row r="891" spans="1:18" ht="40" customHeight="1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M891" s="3"/>
      <c r="N891" s="3"/>
      <c r="O891" s="3"/>
      <c r="P891" s="3"/>
      <c r="R891" s="3"/>
    </row>
    <row r="892" spans="1:18" ht="40" customHeight="1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M892" s="3"/>
      <c r="N892" s="3"/>
      <c r="O892" s="3"/>
      <c r="P892" s="3"/>
      <c r="R892" s="3"/>
    </row>
    <row r="893" spans="1:18" ht="40" customHeight="1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M893" s="3"/>
      <c r="N893" s="3"/>
      <c r="O893" s="3"/>
      <c r="P893" s="3"/>
      <c r="R893" s="3"/>
    </row>
    <row r="894" spans="1:18" ht="40" customHeight="1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M894" s="3"/>
      <c r="N894" s="3"/>
      <c r="O894" s="3"/>
      <c r="P894" s="3"/>
      <c r="R894" s="3"/>
    </row>
    <row r="895" spans="1:18" ht="40" customHeight="1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M895" s="3"/>
      <c r="N895" s="3"/>
      <c r="O895" s="3"/>
      <c r="P895" s="3"/>
      <c r="R895" s="3"/>
    </row>
    <row r="896" spans="1:18" ht="40" customHeight="1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M896" s="3"/>
      <c r="N896" s="3"/>
      <c r="O896" s="3"/>
      <c r="P896" s="3"/>
      <c r="R896" s="3"/>
    </row>
    <row r="897" spans="1:18" ht="40" customHeight="1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M897" s="3"/>
      <c r="N897" s="3"/>
      <c r="O897" s="3"/>
      <c r="P897" s="3"/>
      <c r="R897" s="3"/>
    </row>
    <row r="898" spans="1:18" ht="40" customHeight="1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M898" s="3"/>
      <c r="N898" s="3"/>
      <c r="O898" s="3"/>
      <c r="P898" s="3"/>
      <c r="R898" s="3"/>
    </row>
    <row r="899" spans="1:18" ht="40" customHeight="1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M899" s="3"/>
      <c r="N899" s="3"/>
      <c r="O899" s="3"/>
      <c r="P899" s="3"/>
      <c r="R899" s="3"/>
    </row>
    <row r="900" spans="1:18" ht="40" customHeight="1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M900" s="3"/>
      <c r="N900" s="3"/>
      <c r="O900" s="3"/>
      <c r="P900" s="3"/>
      <c r="R900" s="3"/>
    </row>
    <row r="901" spans="1:18" ht="40" customHeight="1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M901" s="3"/>
      <c r="N901" s="3"/>
      <c r="O901" s="3"/>
      <c r="P901" s="3"/>
      <c r="R901" s="3"/>
    </row>
    <row r="902" spans="1:18" ht="40" customHeight="1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M902" s="3"/>
      <c r="N902" s="3"/>
      <c r="O902" s="3"/>
      <c r="P902" s="3"/>
      <c r="R902" s="3"/>
    </row>
    <row r="903" spans="1:18" ht="40" customHeight="1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M903" s="3"/>
      <c r="N903" s="3"/>
      <c r="O903" s="3"/>
      <c r="P903" s="3"/>
      <c r="R903" s="3"/>
    </row>
    <row r="904" spans="1:18" ht="40" customHeight="1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M904" s="3"/>
      <c r="N904" s="3"/>
      <c r="O904" s="3"/>
      <c r="P904" s="3"/>
      <c r="R904" s="3"/>
    </row>
    <row r="905" spans="1:18" ht="40" customHeight="1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M905" s="3"/>
      <c r="N905" s="3"/>
      <c r="O905" s="3"/>
      <c r="P905" s="3"/>
      <c r="R905" s="3"/>
    </row>
    <row r="906" spans="1:18" ht="40" customHeight="1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M906" s="3"/>
      <c r="N906" s="3"/>
      <c r="O906" s="3"/>
      <c r="P906" s="3"/>
      <c r="R906" s="3"/>
    </row>
    <row r="907" spans="1:18" ht="40" customHeight="1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M907" s="3"/>
      <c r="N907" s="3"/>
      <c r="O907" s="3"/>
      <c r="P907" s="3"/>
      <c r="R907" s="3"/>
    </row>
    <row r="908" spans="1:18" ht="40" customHeight="1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M908" s="3"/>
      <c r="N908" s="3"/>
      <c r="O908" s="3"/>
      <c r="P908" s="3"/>
      <c r="R908" s="3"/>
    </row>
    <row r="909" spans="1:18" ht="40" customHeight="1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M909" s="3"/>
      <c r="N909" s="3"/>
      <c r="O909" s="3"/>
      <c r="P909" s="3"/>
      <c r="R909" s="3"/>
    </row>
    <row r="910" spans="1:18" ht="40" customHeight="1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M910" s="3"/>
      <c r="N910" s="3"/>
      <c r="O910" s="3"/>
      <c r="P910" s="3"/>
      <c r="R910" s="3"/>
    </row>
    <row r="911" spans="1:18" ht="40" customHeight="1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M911" s="3"/>
      <c r="N911" s="3"/>
      <c r="O911" s="3"/>
      <c r="P911" s="3"/>
      <c r="R911" s="3"/>
    </row>
    <row r="912" spans="1:18" ht="40" customHeight="1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M912" s="3"/>
      <c r="N912" s="3"/>
      <c r="O912" s="3"/>
      <c r="P912" s="3"/>
      <c r="R912" s="3"/>
    </row>
    <row r="913" spans="1:18" ht="40" customHeight="1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M913" s="3"/>
      <c r="N913" s="3"/>
      <c r="O913" s="3"/>
      <c r="P913" s="3"/>
      <c r="R913" s="3"/>
    </row>
    <row r="914" spans="1:18" ht="40" customHeight="1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M914" s="3"/>
      <c r="N914" s="3"/>
      <c r="O914" s="3"/>
      <c r="P914" s="3"/>
      <c r="R914" s="3"/>
    </row>
    <row r="915" spans="1:18" ht="40" customHeight="1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M915" s="3"/>
      <c r="N915" s="3"/>
      <c r="O915" s="3"/>
      <c r="P915" s="3"/>
      <c r="R915" s="3"/>
    </row>
    <row r="916" spans="1:18" ht="40" customHeight="1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M916" s="3"/>
      <c r="N916" s="3"/>
      <c r="O916" s="3"/>
      <c r="P916" s="3"/>
      <c r="R916" s="3"/>
    </row>
    <row r="917" spans="1:18" ht="40" customHeight="1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M917" s="3"/>
      <c r="N917" s="3"/>
      <c r="O917" s="3"/>
      <c r="P917" s="3"/>
      <c r="R917" s="3"/>
    </row>
    <row r="918" spans="1:18" ht="40" customHeight="1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M918" s="3"/>
      <c r="N918" s="3"/>
      <c r="O918" s="3"/>
      <c r="P918" s="3"/>
      <c r="R918" s="3"/>
    </row>
    <row r="919" spans="1:18" ht="40" customHeight="1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M919" s="3"/>
      <c r="N919" s="3"/>
      <c r="O919" s="3"/>
      <c r="P919" s="3"/>
      <c r="R919" s="3"/>
    </row>
    <row r="920" spans="1:18" ht="40" customHeight="1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M920" s="3"/>
      <c r="N920" s="3"/>
      <c r="O920" s="3"/>
      <c r="P920" s="3"/>
      <c r="R920" s="3"/>
    </row>
    <row r="921" spans="1:18" ht="40" customHeight="1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M921" s="3"/>
      <c r="N921" s="3"/>
      <c r="O921" s="3"/>
      <c r="P921" s="3"/>
      <c r="R921" s="3"/>
    </row>
    <row r="922" spans="1:18" ht="40" customHeight="1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M922" s="3"/>
      <c r="N922" s="3"/>
      <c r="O922" s="3"/>
      <c r="P922" s="3"/>
      <c r="R922" s="3"/>
    </row>
    <row r="923" spans="1:18" ht="40" customHeight="1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M923" s="3"/>
      <c r="N923" s="3"/>
      <c r="O923" s="3"/>
      <c r="P923" s="3"/>
      <c r="R923" s="3"/>
    </row>
    <row r="924" spans="1:18" ht="40" customHeight="1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M924" s="3"/>
      <c r="N924" s="3"/>
      <c r="O924" s="3"/>
      <c r="P924" s="3"/>
      <c r="R924" s="3"/>
    </row>
    <row r="925" spans="1:18" ht="40" customHeight="1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M925" s="3"/>
      <c r="N925" s="3"/>
      <c r="O925" s="3"/>
      <c r="P925" s="3"/>
      <c r="R925" s="3"/>
    </row>
    <row r="926" spans="1:18" ht="40" customHeight="1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M926" s="3"/>
      <c r="N926" s="3"/>
      <c r="O926" s="3"/>
      <c r="P926" s="3"/>
      <c r="R926" s="3"/>
    </row>
    <row r="927" spans="1:18" ht="40" customHeight="1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M927" s="3"/>
      <c r="N927" s="3"/>
      <c r="O927" s="3"/>
      <c r="P927" s="3"/>
      <c r="R927" s="3"/>
    </row>
    <row r="928" spans="1:18" ht="40" customHeight="1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M928" s="3"/>
      <c r="N928" s="3"/>
      <c r="O928" s="3"/>
      <c r="P928" s="3"/>
      <c r="R928" s="3"/>
    </row>
    <row r="929" spans="1:18" ht="40" customHeight="1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M929" s="3"/>
      <c r="N929" s="3"/>
      <c r="O929" s="3"/>
      <c r="P929" s="3"/>
      <c r="R929" s="3"/>
    </row>
    <row r="930" spans="1:18" ht="40" customHeight="1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M930" s="3"/>
      <c r="N930" s="3"/>
      <c r="O930" s="3"/>
      <c r="P930" s="3"/>
      <c r="R930" s="3"/>
    </row>
    <row r="931" spans="1:18" ht="40" customHeight="1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M931" s="3"/>
      <c r="N931" s="3"/>
      <c r="O931" s="3"/>
      <c r="P931" s="3"/>
      <c r="R931" s="3"/>
    </row>
    <row r="932" spans="1:18" ht="40" customHeight="1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M932" s="3"/>
      <c r="N932" s="3"/>
      <c r="O932" s="3"/>
      <c r="P932" s="3"/>
      <c r="R932" s="3"/>
    </row>
    <row r="933" spans="1:18" ht="40" customHeight="1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M933" s="3"/>
      <c r="N933" s="3"/>
      <c r="O933" s="3"/>
      <c r="P933" s="3"/>
      <c r="R933" s="3"/>
    </row>
    <row r="934" spans="1:18" ht="40" customHeight="1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M934" s="3"/>
      <c r="N934" s="3"/>
      <c r="O934" s="3"/>
      <c r="P934" s="3"/>
      <c r="R934" s="3"/>
    </row>
    <row r="935" spans="1:18" ht="40" customHeight="1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M935" s="3"/>
      <c r="N935" s="3"/>
      <c r="O935" s="3"/>
      <c r="P935" s="3"/>
      <c r="R935" s="3"/>
    </row>
    <row r="936" spans="1:18" ht="40" customHeight="1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M936" s="3"/>
      <c r="N936" s="3"/>
      <c r="O936" s="3"/>
      <c r="P936" s="3"/>
      <c r="R936" s="3"/>
    </row>
    <row r="937" spans="1:18" ht="40" customHeight="1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M937" s="3"/>
      <c r="N937" s="3"/>
      <c r="O937" s="3"/>
      <c r="P937" s="3"/>
      <c r="R937" s="3"/>
    </row>
    <row r="938" spans="1:18" ht="40" customHeight="1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M938" s="3"/>
      <c r="N938" s="3"/>
      <c r="O938" s="3"/>
      <c r="P938" s="3"/>
      <c r="R938" s="3"/>
    </row>
    <row r="939" spans="1:18" ht="40" customHeight="1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M939" s="3"/>
      <c r="N939" s="3"/>
      <c r="O939" s="3"/>
      <c r="P939" s="3"/>
      <c r="R939" s="3"/>
    </row>
    <row r="940" spans="1:18" ht="40" customHeight="1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M940" s="3"/>
      <c r="N940" s="3"/>
      <c r="O940" s="3"/>
      <c r="P940" s="3"/>
      <c r="R940" s="3"/>
    </row>
    <row r="941" spans="1:18" ht="40" customHeight="1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M941" s="3"/>
      <c r="N941" s="3"/>
      <c r="O941" s="3"/>
      <c r="P941" s="3"/>
      <c r="R941" s="3"/>
    </row>
    <row r="942" spans="1:18" ht="40" customHeight="1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M942" s="3"/>
      <c r="N942" s="3"/>
      <c r="O942" s="3"/>
      <c r="P942" s="3"/>
      <c r="R942" s="3"/>
    </row>
    <row r="943" spans="1:18" ht="40" customHeight="1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M943" s="3"/>
      <c r="N943" s="3"/>
      <c r="O943" s="3"/>
      <c r="P943" s="3"/>
      <c r="R943" s="3"/>
    </row>
    <row r="944" spans="1:18" ht="40" customHeight="1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M944" s="3"/>
      <c r="N944" s="3"/>
      <c r="O944" s="3"/>
      <c r="P944" s="3"/>
      <c r="R944" s="3"/>
    </row>
    <row r="945" spans="1:18" ht="40" customHeight="1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M945" s="3"/>
      <c r="N945" s="3"/>
      <c r="O945" s="3"/>
      <c r="P945" s="3"/>
      <c r="R945" s="3"/>
    </row>
    <row r="946" spans="1:18" ht="40" customHeight="1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M946" s="3"/>
      <c r="N946" s="3"/>
      <c r="O946" s="3"/>
      <c r="P946" s="3"/>
      <c r="R946" s="3"/>
    </row>
    <row r="947" spans="1:18" ht="40" customHeight="1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M947" s="3"/>
      <c r="N947" s="3"/>
      <c r="O947" s="3"/>
      <c r="P947" s="3"/>
      <c r="R947" s="3"/>
    </row>
    <row r="948" spans="1:18" ht="40" customHeight="1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M948" s="3"/>
      <c r="N948" s="3"/>
      <c r="O948" s="3"/>
      <c r="P948" s="3"/>
      <c r="R948" s="3"/>
    </row>
    <row r="949" spans="1:18" ht="40" customHeight="1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M949" s="3"/>
      <c r="N949" s="3"/>
      <c r="O949" s="3"/>
      <c r="P949" s="3"/>
      <c r="R949" s="3"/>
    </row>
    <row r="950" spans="1:18" ht="40" customHeight="1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M950" s="3"/>
      <c r="N950" s="3"/>
      <c r="O950" s="3"/>
      <c r="P950" s="3"/>
      <c r="R950" s="3"/>
    </row>
    <row r="951" spans="1:18" ht="40" customHeight="1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M951" s="3"/>
      <c r="N951" s="3"/>
      <c r="O951" s="3"/>
      <c r="P951" s="3"/>
      <c r="R951" s="3"/>
    </row>
    <row r="952" spans="1:18" ht="40" customHeight="1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M952" s="3"/>
      <c r="N952" s="3"/>
      <c r="O952" s="3"/>
      <c r="P952" s="3"/>
      <c r="R952" s="3"/>
    </row>
    <row r="953" spans="1:18" ht="40" customHeight="1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M953" s="3"/>
      <c r="N953" s="3"/>
      <c r="O953" s="3"/>
      <c r="P953" s="3"/>
      <c r="R953" s="3"/>
    </row>
    <row r="954" spans="1:18" ht="40" customHeight="1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M954" s="3"/>
      <c r="N954" s="3"/>
      <c r="O954" s="3"/>
      <c r="P954" s="3"/>
      <c r="R954" s="3"/>
    </row>
    <row r="955" spans="1:18" ht="40" customHeight="1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M955" s="3"/>
      <c r="N955" s="3"/>
      <c r="O955" s="3"/>
      <c r="P955" s="3"/>
      <c r="R955" s="3"/>
    </row>
    <row r="956" spans="1:18" ht="40" customHeight="1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M956" s="3"/>
      <c r="N956" s="3"/>
      <c r="O956" s="3"/>
      <c r="P956" s="3"/>
      <c r="R956" s="3"/>
    </row>
    <row r="957" spans="1:18" ht="40" customHeight="1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M957" s="3"/>
      <c r="N957" s="3"/>
      <c r="O957" s="3"/>
      <c r="P957" s="3"/>
      <c r="R957" s="3"/>
    </row>
    <row r="958" spans="1:18" ht="40" customHeight="1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M958" s="3"/>
      <c r="N958" s="3"/>
      <c r="O958" s="3"/>
      <c r="P958" s="3"/>
      <c r="R958" s="3"/>
    </row>
    <row r="959" spans="1:18" ht="40" customHeight="1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M959" s="3"/>
      <c r="N959" s="3"/>
      <c r="O959" s="3"/>
      <c r="P959" s="3"/>
      <c r="R959" s="3"/>
    </row>
    <row r="960" spans="1:18" ht="40" customHeight="1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M960" s="3"/>
      <c r="N960" s="3"/>
      <c r="O960" s="3"/>
      <c r="P960" s="3"/>
      <c r="R960" s="3"/>
    </row>
    <row r="961" spans="1:18" ht="40" customHeight="1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M961" s="3"/>
      <c r="N961" s="3"/>
      <c r="O961" s="3"/>
      <c r="P961" s="3"/>
      <c r="R961" s="3"/>
    </row>
    <row r="962" spans="1:18" ht="40" customHeight="1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M962" s="3"/>
      <c r="N962" s="3"/>
      <c r="O962" s="3"/>
      <c r="P962" s="3"/>
      <c r="R962" s="3"/>
    </row>
    <row r="963" spans="1:18" ht="40" customHeight="1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M963" s="3"/>
      <c r="N963" s="3"/>
      <c r="O963" s="3"/>
      <c r="P963" s="3"/>
      <c r="R963" s="3"/>
    </row>
    <row r="964" spans="1:18" ht="40" customHeight="1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M964" s="3"/>
      <c r="N964" s="3"/>
      <c r="O964" s="3"/>
      <c r="P964" s="3"/>
      <c r="R964" s="3"/>
    </row>
    <row r="965" spans="1:18" ht="40" customHeight="1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M965" s="3"/>
      <c r="N965" s="3"/>
      <c r="O965" s="3"/>
      <c r="P965" s="3"/>
      <c r="R965" s="3"/>
    </row>
    <row r="966" spans="1:18" ht="40" customHeight="1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M966" s="3"/>
      <c r="N966" s="3"/>
      <c r="O966" s="3"/>
      <c r="P966" s="3"/>
      <c r="R966" s="3"/>
    </row>
    <row r="967" spans="1:18" ht="40" customHeight="1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M967" s="3"/>
      <c r="N967" s="3"/>
      <c r="O967" s="3"/>
      <c r="P967" s="3"/>
      <c r="R967" s="3"/>
    </row>
    <row r="968" spans="1:18" ht="40" customHeight="1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M968" s="3"/>
      <c r="N968" s="3"/>
      <c r="O968" s="3"/>
      <c r="P968" s="3"/>
      <c r="R968" s="3"/>
    </row>
    <row r="969" spans="1:18" ht="40" customHeight="1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M969" s="3"/>
      <c r="N969" s="3"/>
      <c r="O969" s="3"/>
      <c r="P969" s="3"/>
      <c r="R969" s="3"/>
    </row>
    <row r="970" spans="1:18" ht="40" customHeight="1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M970" s="3"/>
      <c r="N970" s="3"/>
      <c r="O970" s="3"/>
      <c r="P970" s="3"/>
      <c r="R970" s="3"/>
    </row>
    <row r="971" spans="1:18" ht="40" customHeight="1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M971" s="3"/>
      <c r="N971" s="3"/>
      <c r="O971" s="3"/>
      <c r="P971" s="3"/>
      <c r="R971" s="3"/>
    </row>
    <row r="972" spans="1:18" ht="40" customHeight="1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M972" s="3"/>
      <c r="N972" s="3"/>
      <c r="O972" s="3"/>
      <c r="P972" s="3"/>
      <c r="R972" s="3"/>
    </row>
    <row r="973" spans="1:18" ht="40" customHeight="1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M973" s="3"/>
      <c r="N973" s="3"/>
      <c r="O973" s="3"/>
      <c r="P973" s="3"/>
      <c r="R973" s="3"/>
    </row>
    <row r="974" spans="1:18" ht="40" customHeight="1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M974" s="3"/>
      <c r="N974" s="3"/>
      <c r="O974" s="3"/>
      <c r="P974" s="3"/>
      <c r="R974" s="3"/>
    </row>
    <row r="975" spans="1:18" ht="40" customHeight="1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M975" s="3"/>
      <c r="N975" s="3"/>
      <c r="O975" s="3"/>
      <c r="P975" s="3"/>
      <c r="R975" s="3"/>
    </row>
    <row r="976" spans="1:18" ht="40" customHeight="1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M976" s="3"/>
      <c r="N976" s="3"/>
      <c r="O976" s="3"/>
      <c r="P976" s="3"/>
      <c r="R976" s="3"/>
    </row>
    <row r="977" spans="1:18" ht="40" customHeight="1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M977" s="3"/>
      <c r="N977" s="3"/>
      <c r="O977" s="3"/>
      <c r="P977" s="3"/>
      <c r="R977" s="3"/>
    </row>
    <row r="978" spans="1:18" ht="40" customHeight="1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M978" s="3"/>
      <c r="N978" s="3"/>
      <c r="O978" s="3"/>
      <c r="P978" s="3"/>
      <c r="R978" s="3"/>
    </row>
    <row r="979" spans="1:18" ht="40" customHeight="1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M979" s="3"/>
      <c r="N979" s="3"/>
      <c r="O979" s="3"/>
      <c r="P979" s="3"/>
      <c r="R979" s="3"/>
    </row>
    <row r="980" spans="1:18" ht="40" customHeight="1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M980" s="3"/>
      <c r="N980" s="3"/>
      <c r="O980" s="3"/>
      <c r="P980" s="3"/>
      <c r="R980" s="3"/>
    </row>
    <row r="981" spans="1:18" ht="40" customHeight="1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M981" s="3"/>
      <c r="N981" s="3"/>
      <c r="O981" s="3"/>
      <c r="P981" s="3"/>
      <c r="R981" s="3"/>
    </row>
    <row r="982" spans="1:18" ht="40" customHeight="1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M982" s="3"/>
      <c r="N982" s="3"/>
      <c r="O982" s="3"/>
      <c r="P982" s="3"/>
      <c r="R982" s="3"/>
    </row>
    <row r="983" spans="1:18" ht="40" customHeight="1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M983" s="3"/>
      <c r="N983" s="3"/>
      <c r="O983" s="3"/>
      <c r="P983" s="3"/>
      <c r="R983" s="3"/>
    </row>
    <row r="984" spans="1:18" ht="40" customHeight="1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M984" s="3"/>
      <c r="N984" s="3"/>
      <c r="O984" s="3"/>
      <c r="P984" s="3"/>
      <c r="R984" s="3"/>
    </row>
    <row r="985" spans="1:18" ht="40" customHeight="1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M985" s="3"/>
      <c r="N985" s="3"/>
      <c r="O985" s="3"/>
      <c r="P985" s="3"/>
      <c r="R985" s="3"/>
    </row>
    <row r="986" spans="1:18" ht="40" customHeight="1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M986" s="3"/>
      <c r="N986" s="3"/>
      <c r="O986" s="3"/>
      <c r="P986" s="3"/>
      <c r="R986" s="3"/>
    </row>
    <row r="987" spans="1:18" ht="40" customHeight="1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M987" s="3"/>
      <c r="N987" s="3"/>
      <c r="O987" s="3"/>
      <c r="P987" s="3"/>
      <c r="R987" s="3"/>
    </row>
    <row r="988" spans="1:18" ht="40" customHeight="1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M988" s="3"/>
      <c r="N988" s="3"/>
      <c r="O988" s="3"/>
      <c r="P988" s="3"/>
      <c r="R988" s="3"/>
    </row>
    <row r="989" spans="1:18" ht="40" customHeight="1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M989" s="3"/>
      <c r="N989" s="3"/>
      <c r="O989" s="3"/>
      <c r="P989" s="3"/>
      <c r="R989" s="3"/>
    </row>
    <row r="990" spans="1:18" ht="40" customHeight="1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M990" s="3"/>
      <c r="N990" s="3"/>
      <c r="O990" s="3"/>
      <c r="P990" s="3"/>
      <c r="R990" s="3"/>
    </row>
    <row r="991" spans="1:18" ht="40" customHeight="1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M991" s="3"/>
      <c r="N991" s="3"/>
      <c r="O991" s="3"/>
      <c r="P991" s="3"/>
      <c r="R991" s="3"/>
    </row>
    <row r="992" spans="1:18" ht="40" customHeight="1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M992" s="3"/>
      <c r="N992" s="3"/>
      <c r="O992" s="3"/>
      <c r="P992" s="3"/>
      <c r="R992" s="3"/>
    </row>
    <row r="993" spans="1:18" ht="40" customHeight="1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M993" s="3"/>
      <c r="N993" s="3"/>
      <c r="O993" s="3"/>
      <c r="P993" s="3"/>
      <c r="R993" s="3"/>
    </row>
    <row r="994" spans="1:18" ht="40" customHeight="1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M994" s="3"/>
      <c r="N994" s="3"/>
      <c r="O994" s="3"/>
      <c r="P994" s="3"/>
      <c r="R994" s="3"/>
    </row>
    <row r="995" spans="1:18" ht="40" customHeight="1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M995" s="3"/>
      <c r="N995" s="3"/>
      <c r="O995" s="3"/>
      <c r="P995" s="3"/>
      <c r="R995" s="3"/>
    </row>
    <row r="996" spans="1:18" ht="40" customHeight="1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M996" s="3"/>
      <c r="N996" s="3"/>
      <c r="O996" s="3"/>
      <c r="P996" s="3"/>
      <c r="R996" s="3"/>
    </row>
    <row r="997" spans="1:18" ht="40" customHeight="1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M997" s="3"/>
      <c r="N997" s="3"/>
      <c r="O997" s="3"/>
      <c r="P997" s="3"/>
      <c r="R997" s="3"/>
    </row>
    <row r="998" spans="1:18" ht="40" customHeight="1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M998" s="3"/>
      <c r="N998" s="3"/>
      <c r="O998" s="3"/>
      <c r="P998" s="3"/>
      <c r="R998" s="3"/>
    </row>
    <row r="999" spans="1:18" ht="40" customHeight="1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M999" s="3"/>
      <c r="N999" s="3"/>
      <c r="O999" s="3"/>
      <c r="P999" s="3"/>
      <c r="R999" s="3"/>
    </row>
  </sheetData>
  <phoneticPr fontId="4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3.Delete_Picture">
                <anchor moveWithCells="1" sizeWithCells="1">
                  <from>
                    <xdr:col>7</xdr:col>
                    <xdr:colOff>831850</xdr:colOff>
                    <xdr:row>21</xdr:row>
                    <xdr:rowOff>476250</xdr:rowOff>
                  </from>
                  <to>
                    <xdr:col>9</xdr:col>
                    <xdr:colOff>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3.fill_image_G">
                <anchor moveWithCells="1" sizeWithCells="1">
                  <from>
                    <xdr:col>7</xdr:col>
                    <xdr:colOff>831850</xdr:colOff>
                    <xdr:row>12</xdr:row>
                    <xdr:rowOff>50800</xdr:rowOff>
                  </from>
                  <to>
                    <xdr:col>9</xdr:col>
                    <xdr:colOff>19050</xdr:colOff>
                    <xdr:row>15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eet3.delete_and_fill">
                <anchor moveWithCells="1" sizeWithCells="1">
                  <from>
                    <xdr:col>7</xdr:col>
                    <xdr:colOff>831850</xdr:colOff>
                    <xdr:row>1</xdr:row>
                    <xdr:rowOff>38100</xdr:rowOff>
                  </from>
                  <to>
                    <xdr:col>9</xdr:col>
                    <xdr:colOff>19050</xdr:colOff>
                    <xdr:row>4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Sheet3.fill_image_M">
                <anchor moveWithCells="1" sizeWithCells="1">
                  <from>
                    <xdr:col>7</xdr:col>
                    <xdr:colOff>831850</xdr:colOff>
                    <xdr:row>17</xdr:row>
                    <xdr:rowOff>19050</xdr:rowOff>
                  </from>
                  <to>
                    <xdr:col>9</xdr:col>
                    <xdr:colOff>19050</xdr:colOff>
                    <xdr:row>20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G1000"/>
  <sheetViews>
    <sheetView tabSelected="1" zoomScale="190" zoomScaleNormal="190" workbookViewId="0">
      <selection activeCell="F4" sqref="F4"/>
    </sheetView>
  </sheetViews>
  <sheetFormatPr defaultColWidth="12.54296875" defaultRowHeight="15.75" customHeight="1" x14ac:dyDescent="0.25"/>
  <cols>
    <col min="1" max="2" width="5.453125" bestFit="1" customWidth="1"/>
    <col min="3" max="3" width="18.7265625" bestFit="1" customWidth="1"/>
    <col min="5" max="5" width="5.7265625" style="19" bestFit="1" customWidth="1"/>
    <col min="6" max="6" width="9.1796875" style="19" bestFit="1" customWidth="1"/>
  </cols>
  <sheetData>
    <row r="1" spans="1:7" ht="15.75" customHeight="1" x14ac:dyDescent="0.25">
      <c r="A1" s="10" t="s">
        <v>153</v>
      </c>
      <c r="B1" s="10" t="s">
        <v>154</v>
      </c>
      <c r="C1" s="18" t="s">
        <v>155</v>
      </c>
      <c r="E1" s="17" t="s">
        <v>154</v>
      </c>
      <c r="F1" s="18" t="s">
        <v>162</v>
      </c>
    </row>
    <row r="2" spans="1:7" ht="15.75" customHeight="1" x14ac:dyDescent="0.25">
      <c r="A2" s="1">
        <v>1</v>
      </c>
      <c r="B2" s="9"/>
      <c r="C2" s="20"/>
      <c r="E2" s="1">
        <v>1</v>
      </c>
      <c r="G2" s="16"/>
    </row>
    <row r="3" spans="1:7" ht="15.75" customHeight="1" x14ac:dyDescent="0.25">
      <c r="A3" s="1">
        <v>2</v>
      </c>
      <c r="B3" s="1"/>
      <c r="C3" s="20"/>
      <c r="E3" s="1">
        <v>2</v>
      </c>
      <c r="G3" s="16"/>
    </row>
    <row r="4" spans="1:7" ht="15.75" customHeight="1" x14ac:dyDescent="0.25">
      <c r="A4" s="1">
        <v>3</v>
      </c>
      <c r="B4" s="9"/>
      <c r="C4" s="20"/>
      <c r="E4" s="1">
        <v>3</v>
      </c>
      <c r="G4" s="16"/>
    </row>
    <row r="5" spans="1:7" ht="15.75" customHeight="1" x14ac:dyDescent="0.25">
      <c r="A5" s="1">
        <v>4</v>
      </c>
      <c r="B5" s="1"/>
      <c r="C5" s="20"/>
      <c r="E5" s="1">
        <v>4</v>
      </c>
      <c r="G5" s="16"/>
    </row>
    <row r="6" spans="1:7" ht="15.75" customHeight="1" x14ac:dyDescent="0.25">
      <c r="A6" s="1">
        <v>5</v>
      </c>
      <c r="B6" s="1"/>
      <c r="C6" s="20"/>
      <c r="E6" s="1">
        <v>5</v>
      </c>
      <c r="G6" s="16"/>
    </row>
    <row r="7" spans="1:7" ht="15.75" customHeight="1" x14ac:dyDescent="0.25">
      <c r="A7" s="1">
        <v>6</v>
      </c>
      <c r="B7" s="1"/>
      <c r="C7" s="10"/>
      <c r="E7" s="1">
        <v>6</v>
      </c>
      <c r="G7" s="16"/>
    </row>
    <row r="8" spans="1:7" ht="15.75" customHeight="1" x14ac:dyDescent="0.25">
      <c r="A8" s="1">
        <v>7</v>
      </c>
      <c r="B8" s="1"/>
      <c r="C8" s="20"/>
      <c r="E8" s="1">
        <v>7</v>
      </c>
      <c r="G8" s="16"/>
    </row>
    <row r="9" spans="1:7" ht="15.75" customHeight="1" x14ac:dyDescent="0.25">
      <c r="A9" s="1">
        <v>8</v>
      </c>
      <c r="B9" s="1"/>
      <c r="C9" s="20"/>
      <c r="E9" s="1">
        <v>8</v>
      </c>
      <c r="G9" s="16"/>
    </row>
    <row r="10" spans="1:7" ht="15.75" customHeight="1" x14ac:dyDescent="0.25">
      <c r="A10" s="1">
        <v>9</v>
      </c>
      <c r="B10" s="1"/>
      <c r="C10" s="20"/>
      <c r="E10" s="1">
        <v>9</v>
      </c>
      <c r="G10" s="16"/>
    </row>
    <row r="11" spans="1:7" ht="15.75" customHeight="1" x14ac:dyDescent="0.25">
      <c r="A11" s="1">
        <v>10</v>
      </c>
      <c r="B11" s="1"/>
      <c r="C11" s="20"/>
      <c r="E11" s="1">
        <v>10</v>
      </c>
      <c r="G11" s="16"/>
    </row>
    <row r="12" spans="1:7" ht="15.75" customHeight="1" x14ac:dyDescent="0.25">
      <c r="A12" s="1">
        <v>11</v>
      </c>
      <c r="B12" s="1"/>
      <c r="C12" s="20"/>
      <c r="E12" s="1">
        <v>11</v>
      </c>
      <c r="G12" s="16"/>
    </row>
    <row r="13" spans="1:7" ht="15.75" customHeight="1" x14ac:dyDescent="0.25">
      <c r="A13" s="1">
        <v>12</v>
      </c>
      <c r="B13" s="1"/>
      <c r="C13" s="20"/>
      <c r="E13" s="1">
        <v>12</v>
      </c>
      <c r="G13" s="16"/>
    </row>
    <row r="14" spans="1:7" ht="15.75" customHeight="1" x14ac:dyDescent="0.25">
      <c r="A14" s="1">
        <v>13</v>
      </c>
      <c r="B14" s="9"/>
      <c r="C14" s="20"/>
      <c r="E14" s="1">
        <v>13</v>
      </c>
      <c r="G14" s="16"/>
    </row>
    <row r="15" spans="1:7" ht="15.75" customHeight="1" x14ac:dyDescent="0.25">
      <c r="A15" s="1">
        <v>14</v>
      </c>
      <c r="B15" s="1"/>
      <c r="C15" s="20"/>
      <c r="E15" s="1">
        <v>14</v>
      </c>
      <c r="G15" s="16"/>
    </row>
    <row r="16" spans="1:7" ht="15.75" customHeight="1" x14ac:dyDescent="0.25">
      <c r="A16" s="1">
        <v>15</v>
      </c>
      <c r="B16" s="1"/>
      <c r="C16" s="20"/>
      <c r="E16" s="1">
        <v>15</v>
      </c>
      <c r="G16" s="16"/>
    </row>
    <row r="17" spans="1:7" ht="15.75" customHeight="1" x14ac:dyDescent="0.25">
      <c r="A17" s="1">
        <v>16</v>
      </c>
      <c r="B17" s="1"/>
      <c r="C17" s="20"/>
      <c r="E17" s="1">
        <v>16</v>
      </c>
      <c r="G17" s="16"/>
    </row>
    <row r="18" spans="1:7" ht="12.5" x14ac:dyDescent="0.25">
      <c r="A18" s="1">
        <v>17</v>
      </c>
      <c r="B18" s="1"/>
      <c r="C18" s="20"/>
      <c r="E18" s="1">
        <v>17</v>
      </c>
      <c r="G18" s="16"/>
    </row>
    <row r="19" spans="1:7" ht="12.5" x14ac:dyDescent="0.25">
      <c r="A19" s="1">
        <v>18</v>
      </c>
      <c r="B19" s="1"/>
      <c r="C19" s="20"/>
      <c r="E19" s="1">
        <v>18</v>
      </c>
      <c r="G19" s="16"/>
    </row>
    <row r="20" spans="1:7" ht="12.5" x14ac:dyDescent="0.25">
      <c r="A20" s="1">
        <v>19</v>
      </c>
      <c r="B20" s="1"/>
      <c r="C20" s="20"/>
      <c r="E20" s="1">
        <v>19</v>
      </c>
      <c r="G20" s="16"/>
    </row>
    <row r="21" spans="1:7" ht="12.5" x14ac:dyDescent="0.25">
      <c r="A21" s="1">
        <v>20</v>
      </c>
      <c r="B21" s="1"/>
      <c r="C21" s="20"/>
      <c r="E21" s="1">
        <v>20</v>
      </c>
      <c r="G21" s="16"/>
    </row>
    <row r="22" spans="1:7" ht="12.5" x14ac:dyDescent="0.25">
      <c r="A22" s="1">
        <v>21</v>
      </c>
      <c r="B22" s="1"/>
      <c r="C22" s="20"/>
      <c r="E22" s="1">
        <v>21</v>
      </c>
      <c r="G22" s="16"/>
    </row>
    <row r="23" spans="1:7" ht="12.5" x14ac:dyDescent="0.25">
      <c r="A23" s="1">
        <v>22</v>
      </c>
      <c r="B23" s="1"/>
      <c r="C23" s="20"/>
      <c r="E23" s="1">
        <v>22</v>
      </c>
      <c r="G23" s="16"/>
    </row>
    <row r="24" spans="1:7" ht="12.5" x14ac:dyDescent="0.25">
      <c r="A24" s="1">
        <v>23</v>
      </c>
      <c r="B24" s="1"/>
      <c r="C24" s="20"/>
      <c r="E24" s="1">
        <v>23</v>
      </c>
      <c r="G24" s="16"/>
    </row>
    <row r="25" spans="1:7" ht="12.5" x14ac:dyDescent="0.25">
      <c r="A25" s="1">
        <v>24</v>
      </c>
      <c r="B25" s="1"/>
      <c r="C25" s="20"/>
      <c r="E25" s="1">
        <v>24</v>
      </c>
      <c r="G25" s="16"/>
    </row>
    <row r="26" spans="1:7" ht="12.5" x14ac:dyDescent="0.25">
      <c r="A26" s="1">
        <v>25</v>
      </c>
      <c r="B26" s="1"/>
      <c r="C26" s="20"/>
      <c r="E26" s="1">
        <v>25</v>
      </c>
      <c r="G26" s="16"/>
    </row>
    <row r="27" spans="1:7" ht="12.5" x14ac:dyDescent="0.25">
      <c r="A27" s="1">
        <v>26</v>
      </c>
      <c r="B27" s="1"/>
      <c r="C27" s="20"/>
      <c r="E27" s="1">
        <v>26</v>
      </c>
      <c r="G27" s="16"/>
    </row>
    <row r="28" spans="1:7" ht="12.5" x14ac:dyDescent="0.25">
      <c r="A28" s="1">
        <v>27</v>
      </c>
      <c r="B28" s="1"/>
      <c r="C28" s="20"/>
      <c r="E28" s="1">
        <v>27</v>
      </c>
      <c r="G28" s="16"/>
    </row>
    <row r="29" spans="1:7" ht="12.5" x14ac:dyDescent="0.25">
      <c r="A29" s="1">
        <v>28</v>
      </c>
      <c r="B29" s="1"/>
      <c r="C29" s="20"/>
      <c r="E29" s="1">
        <v>28</v>
      </c>
      <c r="G29" s="16"/>
    </row>
    <row r="30" spans="1:7" ht="12.5" x14ac:dyDescent="0.25">
      <c r="A30" s="1">
        <v>29</v>
      </c>
      <c r="B30" s="1"/>
      <c r="C30" s="20"/>
      <c r="E30" s="1">
        <v>29</v>
      </c>
      <c r="G30" s="16"/>
    </row>
    <row r="31" spans="1:7" ht="12.5" x14ac:dyDescent="0.25">
      <c r="A31" s="1">
        <v>30</v>
      </c>
      <c r="B31" s="1"/>
      <c r="C31" s="20"/>
      <c r="E31" s="1">
        <v>30</v>
      </c>
      <c r="G31" s="16"/>
    </row>
    <row r="32" spans="1:7" ht="12.5" x14ac:dyDescent="0.25">
      <c r="A32" s="1">
        <v>31</v>
      </c>
      <c r="B32" s="1"/>
      <c r="C32" s="20"/>
      <c r="E32" s="1">
        <v>31</v>
      </c>
      <c r="G32" s="16"/>
    </row>
    <row r="33" spans="1:7" ht="12.5" x14ac:dyDescent="0.25">
      <c r="A33" s="1">
        <v>32</v>
      </c>
      <c r="B33" s="1"/>
      <c r="C33" s="20"/>
      <c r="E33" s="1">
        <v>32</v>
      </c>
      <c r="G33" s="16"/>
    </row>
    <row r="34" spans="1:7" ht="12.5" x14ac:dyDescent="0.25">
      <c r="A34" s="1">
        <v>33</v>
      </c>
      <c r="B34" s="1"/>
      <c r="C34" s="20"/>
      <c r="E34" s="1">
        <v>33</v>
      </c>
      <c r="G34" s="16"/>
    </row>
    <row r="35" spans="1:7" ht="12.5" x14ac:dyDescent="0.25">
      <c r="A35" s="1">
        <v>34</v>
      </c>
      <c r="B35" s="1"/>
      <c r="C35" s="20"/>
      <c r="E35" s="1">
        <v>34</v>
      </c>
      <c r="G35" s="16"/>
    </row>
    <row r="36" spans="1:7" ht="12.5" x14ac:dyDescent="0.25">
      <c r="A36" s="1">
        <v>35</v>
      </c>
      <c r="B36" s="1"/>
      <c r="C36" s="20"/>
      <c r="E36" s="1">
        <v>35</v>
      </c>
      <c r="G36" s="16"/>
    </row>
    <row r="37" spans="1:7" ht="12.5" x14ac:dyDescent="0.25">
      <c r="A37" s="1">
        <v>36</v>
      </c>
      <c r="B37" s="1"/>
      <c r="C37" s="20"/>
      <c r="E37" s="1">
        <v>36</v>
      </c>
      <c r="G37" s="16"/>
    </row>
    <row r="38" spans="1:7" ht="12.5" x14ac:dyDescent="0.25">
      <c r="A38" s="1">
        <v>37</v>
      </c>
      <c r="B38" s="1"/>
      <c r="C38" s="20"/>
      <c r="E38" s="1">
        <v>37</v>
      </c>
      <c r="G38" s="16"/>
    </row>
    <row r="39" spans="1:7" ht="12.5" x14ac:dyDescent="0.25">
      <c r="A39" s="1">
        <v>38</v>
      </c>
      <c r="B39" s="1"/>
      <c r="C39" s="20"/>
      <c r="E39" s="1">
        <v>38</v>
      </c>
      <c r="G39" s="16"/>
    </row>
    <row r="40" spans="1:7" ht="12.5" x14ac:dyDescent="0.25">
      <c r="A40" s="1">
        <v>39</v>
      </c>
      <c r="B40" s="1"/>
      <c r="C40" s="10"/>
      <c r="E40" s="1">
        <v>39</v>
      </c>
      <c r="G40" s="16"/>
    </row>
    <row r="41" spans="1:7" ht="12.5" x14ac:dyDescent="0.25">
      <c r="A41" s="1">
        <v>40</v>
      </c>
      <c r="B41" s="1"/>
      <c r="C41" s="20"/>
      <c r="E41" s="1">
        <v>40</v>
      </c>
      <c r="G41" s="16"/>
    </row>
    <row r="42" spans="1:7" ht="12.5" x14ac:dyDescent="0.25">
      <c r="A42" s="1">
        <v>41</v>
      </c>
      <c r="B42" s="1"/>
      <c r="C42" s="20"/>
      <c r="E42" s="1">
        <v>41</v>
      </c>
      <c r="G42" s="16"/>
    </row>
    <row r="43" spans="1:7" ht="12.5" x14ac:dyDescent="0.25">
      <c r="A43" s="1">
        <v>42</v>
      </c>
      <c r="B43" s="1"/>
      <c r="C43" s="20"/>
      <c r="E43" s="1">
        <v>42</v>
      </c>
      <c r="G43" s="16"/>
    </row>
    <row r="44" spans="1:7" ht="12.5" x14ac:dyDescent="0.25">
      <c r="A44" s="1">
        <v>43</v>
      </c>
      <c r="B44" s="1"/>
      <c r="C44" s="20"/>
      <c r="E44" s="1">
        <v>43</v>
      </c>
      <c r="G44" s="16"/>
    </row>
    <row r="45" spans="1:7" ht="12.5" x14ac:dyDescent="0.25">
      <c r="A45" s="1">
        <v>44</v>
      </c>
      <c r="B45" s="1"/>
      <c r="C45" s="20"/>
      <c r="E45" s="1">
        <v>44</v>
      </c>
      <c r="G45" s="16"/>
    </row>
    <row r="46" spans="1:7" ht="12.5" x14ac:dyDescent="0.25">
      <c r="A46" s="1">
        <v>45</v>
      </c>
      <c r="B46" s="1"/>
      <c r="C46" s="20"/>
      <c r="E46" s="1">
        <v>45</v>
      </c>
      <c r="G46" s="16"/>
    </row>
    <row r="47" spans="1:7" ht="12.5" x14ac:dyDescent="0.25">
      <c r="A47" s="1">
        <v>46</v>
      </c>
      <c r="B47" s="1"/>
      <c r="C47" s="20"/>
      <c r="E47" s="1">
        <v>46</v>
      </c>
    </row>
    <row r="48" spans="1:7" ht="12.5" x14ac:dyDescent="0.25">
      <c r="A48" s="1">
        <v>47</v>
      </c>
      <c r="B48" s="1"/>
      <c r="C48" s="20"/>
      <c r="E48" s="1">
        <v>47</v>
      </c>
    </row>
    <row r="49" spans="1:5" ht="12.5" x14ac:dyDescent="0.25">
      <c r="A49" s="1">
        <v>48</v>
      </c>
      <c r="B49" s="1"/>
      <c r="C49" s="20"/>
      <c r="E49" s="1">
        <v>48</v>
      </c>
    </row>
    <row r="50" spans="1:5" ht="12.5" x14ac:dyDescent="0.25">
      <c r="A50" s="1">
        <v>49</v>
      </c>
      <c r="B50" s="1"/>
      <c r="C50" s="20"/>
      <c r="E50" s="1">
        <v>49</v>
      </c>
    </row>
    <row r="51" spans="1:5" ht="12.5" x14ac:dyDescent="0.25">
      <c r="A51" s="1">
        <v>50</v>
      </c>
      <c r="B51" s="1"/>
      <c r="C51" s="20"/>
      <c r="E51" s="1">
        <v>50</v>
      </c>
    </row>
    <row r="52" spans="1:5" ht="12.5" x14ac:dyDescent="0.25">
      <c r="A52" s="1">
        <v>51</v>
      </c>
      <c r="B52" s="1"/>
      <c r="C52" s="20"/>
      <c r="E52" s="1">
        <v>51</v>
      </c>
    </row>
    <row r="53" spans="1:5" ht="12.5" x14ac:dyDescent="0.25">
      <c r="A53" s="1">
        <v>52</v>
      </c>
      <c r="B53" s="1"/>
      <c r="C53" s="20"/>
      <c r="E53" s="1">
        <v>52</v>
      </c>
    </row>
    <row r="54" spans="1:5" ht="12.5" x14ac:dyDescent="0.25">
      <c r="A54" s="1">
        <v>53</v>
      </c>
      <c r="B54" s="1"/>
      <c r="C54" s="20"/>
      <c r="E54" s="1">
        <v>53</v>
      </c>
    </row>
    <row r="55" spans="1:5" ht="12.5" x14ac:dyDescent="0.25">
      <c r="A55" s="1">
        <v>54</v>
      </c>
      <c r="B55" s="1"/>
      <c r="C55" s="20"/>
      <c r="E55" s="1">
        <v>54</v>
      </c>
    </row>
    <row r="56" spans="1:5" ht="12.5" x14ac:dyDescent="0.25">
      <c r="A56" s="1">
        <v>55</v>
      </c>
      <c r="B56" s="1"/>
      <c r="C56" s="20"/>
      <c r="E56" s="1">
        <v>55</v>
      </c>
    </row>
    <row r="57" spans="1:5" ht="12.5" x14ac:dyDescent="0.25">
      <c r="A57" s="1">
        <v>56</v>
      </c>
      <c r="B57" s="1"/>
      <c r="C57" s="20"/>
      <c r="E57" s="1">
        <v>56</v>
      </c>
    </row>
    <row r="58" spans="1:5" ht="12.5" x14ac:dyDescent="0.25">
      <c r="A58" s="1">
        <v>57</v>
      </c>
      <c r="B58" s="1"/>
      <c r="C58" s="20"/>
      <c r="E58" s="1">
        <v>57</v>
      </c>
    </row>
    <row r="59" spans="1:5" ht="12.5" x14ac:dyDescent="0.25">
      <c r="A59" s="1">
        <v>58</v>
      </c>
      <c r="B59" s="1"/>
      <c r="C59" s="20"/>
      <c r="E59" s="1">
        <v>58</v>
      </c>
    </row>
    <row r="60" spans="1:5" ht="12.5" x14ac:dyDescent="0.25">
      <c r="A60" s="1">
        <v>59</v>
      </c>
      <c r="B60" s="1"/>
      <c r="C60" s="20"/>
      <c r="E60" s="1">
        <v>59</v>
      </c>
    </row>
    <row r="61" spans="1:5" ht="12.5" x14ac:dyDescent="0.25">
      <c r="A61" s="1">
        <v>60</v>
      </c>
      <c r="B61" s="1"/>
      <c r="C61" s="20"/>
      <c r="E61" s="1">
        <v>60</v>
      </c>
    </row>
    <row r="62" spans="1:5" ht="12.5" x14ac:dyDescent="0.25">
      <c r="A62" s="1">
        <v>61</v>
      </c>
      <c r="B62" s="1"/>
      <c r="C62" s="20"/>
      <c r="E62" s="1">
        <v>61</v>
      </c>
    </row>
    <row r="63" spans="1:5" ht="12.5" x14ac:dyDescent="0.25">
      <c r="A63" s="1">
        <v>62</v>
      </c>
      <c r="B63" s="1"/>
      <c r="C63" s="20"/>
      <c r="E63" s="1">
        <v>62</v>
      </c>
    </row>
    <row r="64" spans="1:5" ht="12.5" x14ac:dyDescent="0.25">
      <c r="A64" s="1">
        <v>63</v>
      </c>
      <c r="B64" s="1"/>
      <c r="C64" s="20"/>
      <c r="E64" s="1">
        <v>63</v>
      </c>
    </row>
    <row r="65" spans="1:5" ht="12.5" x14ac:dyDescent="0.25">
      <c r="A65" s="1">
        <v>64</v>
      </c>
      <c r="B65" s="1"/>
      <c r="C65" s="20"/>
      <c r="E65" s="1">
        <v>64</v>
      </c>
    </row>
    <row r="66" spans="1:5" ht="12.5" x14ac:dyDescent="0.25">
      <c r="A66" s="1">
        <v>65</v>
      </c>
      <c r="B66" s="1"/>
      <c r="C66" s="20"/>
      <c r="E66" s="1">
        <v>65</v>
      </c>
    </row>
    <row r="67" spans="1:5" ht="12.5" x14ac:dyDescent="0.25">
      <c r="A67" s="1">
        <v>66</v>
      </c>
      <c r="B67" s="1"/>
      <c r="C67" s="20"/>
      <c r="E67" s="1">
        <v>66</v>
      </c>
    </row>
    <row r="68" spans="1:5" ht="12.5" x14ac:dyDescent="0.25">
      <c r="A68" s="1">
        <v>67</v>
      </c>
      <c r="B68" s="1"/>
      <c r="C68" s="10"/>
      <c r="E68" s="1">
        <v>67</v>
      </c>
    </row>
    <row r="69" spans="1:5" ht="12.5" x14ac:dyDescent="0.25">
      <c r="A69" s="1">
        <v>68</v>
      </c>
      <c r="B69" s="1"/>
      <c r="C69" s="20"/>
      <c r="E69" s="1">
        <v>68</v>
      </c>
    </row>
    <row r="70" spans="1:5" ht="12.5" x14ac:dyDescent="0.25">
      <c r="A70" s="1">
        <v>69</v>
      </c>
      <c r="B70" s="1"/>
      <c r="C70" s="20"/>
      <c r="E70" s="1">
        <v>69</v>
      </c>
    </row>
    <row r="71" spans="1:5" ht="12.5" x14ac:dyDescent="0.25">
      <c r="A71" s="1">
        <v>70</v>
      </c>
      <c r="B71" s="1"/>
      <c r="C71" s="20"/>
      <c r="E71" s="1">
        <v>70</v>
      </c>
    </row>
    <row r="72" spans="1:5" ht="12.5" x14ac:dyDescent="0.25">
      <c r="A72" s="1">
        <v>71</v>
      </c>
      <c r="B72" s="1"/>
      <c r="C72" s="20"/>
      <c r="E72" s="1">
        <v>71</v>
      </c>
    </row>
    <row r="73" spans="1:5" ht="12.5" x14ac:dyDescent="0.25">
      <c r="A73" s="1">
        <v>72</v>
      </c>
      <c r="B73" s="1"/>
      <c r="C73" s="20"/>
      <c r="E73" s="1">
        <v>72</v>
      </c>
    </row>
    <row r="74" spans="1:5" ht="12.5" x14ac:dyDescent="0.25">
      <c r="A74" s="1">
        <v>73</v>
      </c>
      <c r="B74" s="9"/>
      <c r="C74" s="20"/>
      <c r="E74" s="1">
        <v>73</v>
      </c>
    </row>
    <row r="75" spans="1:5" ht="12.5" x14ac:dyDescent="0.25">
      <c r="A75" s="1">
        <v>74</v>
      </c>
      <c r="B75" s="1"/>
      <c r="C75" s="20"/>
      <c r="E75" s="1">
        <v>74</v>
      </c>
    </row>
    <row r="76" spans="1:5" ht="12.5" x14ac:dyDescent="0.25">
      <c r="A76" s="1">
        <v>75</v>
      </c>
      <c r="B76" s="9"/>
      <c r="C76" s="10"/>
      <c r="E76" s="1">
        <v>75</v>
      </c>
    </row>
    <row r="77" spans="1:5" ht="12.5" x14ac:dyDescent="0.25">
      <c r="A77" s="1"/>
      <c r="B77" s="1"/>
    </row>
    <row r="78" spans="1:5" ht="12.5" x14ac:dyDescent="0.25">
      <c r="A78" s="1"/>
      <c r="B78" s="1"/>
    </row>
    <row r="79" spans="1:5" ht="12.5" x14ac:dyDescent="0.25">
      <c r="A79" s="1"/>
      <c r="B79" s="1"/>
    </row>
    <row r="80" spans="1:5" ht="12.5" x14ac:dyDescent="0.25">
      <c r="A80" s="1"/>
      <c r="B80" s="1"/>
    </row>
    <row r="81" spans="1:2" ht="12.5" x14ac:dyDescent="0.25">
      <c r="A81" s="1"/>
      <c r="B81" s="1"/>
    </row>
    <row r="82" spans="1:2" ht="12.5" x14ac:dyDescent="0.25">
      <c r="A82" s="1"/>
      <c r="B82" s="1"/>
    </row>
    <row r="83" spans="1:2" ht="12.5" x14ac:dyDescent="0.25">
      <c r="A83" s="1"/>
      <c r="B83" s="1"/>
    </row>
    <row r="84" spans="1:2" ht="12.5" x14ac:dyDescent="0.25">
      <c r="A84" s="1"/>
      <c r="B84" s="1"/>
    </row>
    <row r="85" spans="1:2" ht="12.5" x14ac:dyDescent="0.25">
      <c r="A85" s="1"/>
      <c r="B85" s="1"/>
    </row>
    <row r="86" spans="1:2" ht="12.5" x14ac:dyDescent="0.25">
      <c r="A86" s="1"/>
      <c r="B86" s="1"/>
    </row>
    <row r="87" spans="1:2" ht="12.5" x14ac:dyDescent="0.25">
      <c r="A87" s="1"/>
      <c r="B87" s="1"/>
    </row>
    <row r="88" spans="1:2" ht="12.5" x14ac:dyDescent="0.25">
      <c r="A88" s="1"/>
      <c r="B88" s="1"/>
    </row>
    <row r="89" spans="1:2" ht="12.5" x14ac:dyDescent="0.25">
      <c r="A89" s="1"/>
      <c r="B89" s="1"/>
    </row>
    <row r="90" spans="1:2" ht="12.5" x14ac:dyDescent="0.25">
      <c r="A90" s="1"/>
      <c r="B90" s="1"/>
    </row>
    <row r="91" spans="1:2" ht="12.5" x14ac:dyDescent="0.25">
      <c r="A91" s="1"/>
      <c r="B91" s="1"/>
    </row>
    <row r="92" spans="1:2" ht="12.5" x14ac:dyDescent="0.25">
      <c r="A92" s="1"/>
      <c r="B92" s="1"/>
    </row>
    <row r="93" spans="1:2" ht="12.5" x14ac:dyDescent="0.25">
      <c r="A93" s="1"/>
      <c r="B93" s="1"/>
    </row>
    <row r="94" spans="1:2" ht="12.5" x14ac:dyDescent="0.25">
      <c r="A94" s="1"/>
      <c r="B94" s="1"/>
    </row>
    <row r="95" spans="1:2" ht="12.5" x14ac:dyDescent="0.25">
      <c r="A95" s="1"/>
      <c r="B95" s="1"/>
    </row>
    <row r="96" spans="1:2" ht="12.5" x14ac:dyDescent="0.25">
      <c r="A96" s="1"/>
      <c r="B96" s="1"/>
    </row>
    <row r="97" spans="1:2" ht="12.5" x14ac:dyDescent="0.25">
      <c r="A97" s="1"/>
      <c r="B97" s="1"/>
    </row>
    <row r="98" spans="1:2" ht="12.5" x14ac:dyDescent="0.25">
      <c r="A98" s="1"/>
      <c r="B98" s="1"/>
    </row>
    <row r="99" spans="1:2" ht="12.5" x14ac:dyDescent="0.25">
      <c r="A99" s="1"/>
      <c r="B99" s="1"/>
    </row>
    <row r="100" spans="1:2" ht="12.5" x14ac:dyDescent="0.25">
      <c r="A100" s="1"/>
      <c r="B100" s="1"/>
    </row>
    <row r="101" spans="1:2" ht="12.5" x14ac:dyDescent="0.25">
      <c r="A101" s="1"/>
      <c r="B101" s="1"/>
    </row>
    <row r="102" spans="1:2" ht="12.5" x14ac:dyDescent="0.25">
      <c r="A102" s="1"/>
      <c r="B102" s="1"/>
    </row>
    <row r="103" spans="1:2" ht="12.5" x14ac:dyDescent="0.25">
      <c r="A103" s="1"/>
      <c r="B103" s="1"/>
    </row>
    <row r="104" spans="1:2" ht="12.5" x14ac:dyDescent="0.25">
      <c r="A104" s="1"/>
      <c r="B104" s="1"/>
    </row>
    <row r="105" spans="1:2" ht="12.5" x14ac:dyDescent="0.25">
      <c r="A105" s="1"/>
      <c r="B105" s="1"/>
    </row>
    <row r="106" spans="1:2" ht="12.5" x14ac:dyDescent="0.25">
      <c r="A106" s="1"/>
      <c r="B106" s="1"/>
    </row>
    <row r="107" spans="1:2" ht="12.5" x14ac:dyDescent="0.25">
      <c r="A107" s="1"/>
      <c r="B107" s="1"/>
    </row>
    <row r="108" spans="1:2" ht="12.5" x14ac:dyDescent="0.25">
      <c r="A108" s="1"/>
      <c r="B108" s="1"/>
    </row>
    <row r="109" spans="1:2" ht="12.5" x14ac:dyDescent="0.25">
      <c r="A109" s="1"/>
      <c r="B109" s="1"/>
    </row>
    <row r="110" spans="1:2" ht="12.5" x14ac:dyDescent="0.25">
      <c r="A110" s="1"/>
      <c r="B110" s="1"/>
    </row>
    <row r="111" spans="1:2" ht="12.5" x14ac:dyDescent="0.25">
      <c r="A111" s="1"/>
      <c r="B111" s="1"/>
    </row>
    <row r="112" spans="1:2" ht="12.5" x14ac:dyDescent="0.25">
      <c r="A112" s="1"/>
      <c r="B112" s="1"/>
    </row>
    <row r="113" spans="1:2" ht="12.5" x14ac:dyDescent="0.25">
      <c r="A113" s="1"/>
      <c r="B113" s="1"/>
    </row>
    <row r="114" spans="1:2" ht="12.5" x14ac:dyDescent="0.25">
      <c r="A114" s="1"/>
      <c r="B114" s="1"/>
    </row>
    <row r="115" spans="1:2" ht="12.5" x14ac:dyDescent="0.25">
      <c r="A115" s="1"/>
      <c r="B115" s="1"/>
    </row>
    <row r="116" spans="1:2" ht="12.5" x14ac:dyDescent="0.25">
      <c r="A116" s="1"/>
      <c r="B116" s="1"/>
    </row>
    <row r="117" spans="1:2" ht="12.5" x14ac:dyDescent="0.25">
      <c r="A117" s="1"/>
      <c r="B117" s="1"/>
    </row>
    <row r="118" spans="1:2" ht="12.5" x14ac:dyDescent="0.25">
      <c r="A118" s="1"/>
      <c r="B118" s="1"/>
    </row>
    <row r="119" spans="1:2" ht="12.5" x14ac:dyDescent="0.25">
      <c r="A119" s="1"/>
      <c r="B119" s="1"/>
    </row>
    <row r="120" spans="1:2" ht="12.5" x14ac:dyDescent="0.25">
      <c r="A120" s="1"/>
      <c r="B120" s="1"/>
    </row>
    <row r="121" spans="1:2" ht="12.5" x14ac:dyDescent="0.25">
      <c r="A121" s="1"/>
      <c r="B121" s="1"/>
    </row>
    <row r="122" spans="1:2" ht="12.5" x14ac:dyDescent="0.25">
      <c r="A122" s="1"/>
      <c r="B122" s="1"/>
    </row>
    <row r="123" spans="1:2" ht="12.5" x14ac:dyDescent="0.25">
      <c r="A123" s="1"/>
      <c r="B123" s="1"/>
    </row>
    <row r="124" spans="1:2" ht="12.5" x14ac:dyDescent="0.25">
      <c r="A124" s="1"/>
      <c r="B124" s="1"/>
    </row>
    <row r="125" spans="1:2" ht="12.5" x14ac:dyDescent="0.25">
      <c r="A125" s="1"/>
      <c r="B125" s="1"/>
    </row>
    <row r="126" spans="1:2" ht="12.5" x14ac:dyDescent="0.25">
      <c r="A126" s="1"/>
      <c r="B126" s="1"/>
    </row>
    <row r="127" spans="1:2" ht="12.5" x14ac:dyDescent="0.25">
      <c r="A127" s="1"/>
      <c r="B127" s="1"/>
    </row>
    <row r="128" spans="1:2" ht="12.5" x14ac:dyDescent="0.25">
      <c r="A128" s="1"/>
      <c r="B128" s="1"/>
    </row>
    <row r="129" spans="1:2" ht="12.5" x14ac:dyDescent="0.25">
      <c r="A129" s="1"/>
      <c r="B129" s="1"/>
    </row>
    <row r="130" spans="1:2" ht="12.5" x14ac:dyDescent="0.25">
      <c r="A130" s="1"/>
      <c r="B130" s="1"/>
    </row>
    <row r="131" spans="1:2" ht="12.5" x14ac:dyDescent="0.25">
      <c r="A131" s="1"/>
      <c r="B131" s="1"/>
    </row>
    <row r="132" spans="1:2" ht="12.5" x14ac:dyDescent="0.25">
      <c r="A132" s="1"/>
      <c r="B132" s="1"/>
    </row>
    <row r="133" spans="1:2" ht="12.5" x14ac:dyDescent="0.25">
      <c r="A133" s="1"/>
      <c r="B133" s="1"/>
    </row>
    <row r="134" spans="1:2" ht="12.5" x14ac:dyDescent="0.25">
      <c r="A134" s="1"/>
      <c r="B134" s="1"/>
    </row>
    <row r="135" spans="1:2" ht="12.5" x14ac:dyDescent="0.25">
      <c r="A135" s="1"/>
      <c r="B135" s="1"/>
    </row>
    <row r="136" spans="1:2" ht="12.5" x14ac:dyDescent="0.25">
      <c r="A136" s="1"/>
      <c r="B136" s="1"/>
    </row>
    <row r="137" spans="1:2" ht="12.5" x14ac:dyDescent="0.25">
      <c r="A137" s="1"/>
      <c r="B137" s="1"/>
    </row>
    <row r="138" spans="1:2" ht="12.5" x14ac:dyDescent="0.25">
      <c r="A138" s="1"/>
      <c r="B138" s="1"/>
    </row>
    <row r="139" spans="1:2" ht="12.5" x14ac:dyDescent="0.25">
      <c r="A139" s="1"/>
      <c r="B139" s="1"/>
    </row>
    <row r="140" spans="1:2" ht="12.5" x14ac:dyDescent="0.25">
      <c r="A140" s="1"/>
      <c r="B140" s="1"/>
    </row>
    <row r="141" spans="1:2" ht="12.5" x14ac:dyDescent="0.25">
      <c r="A141" s="1"/>
      <c r="B141" s="1"/>
    </row>
    <row r="142" spans="1:2" ht="12.5" x14ac:dyDescent="0.25">
      <c r="A142" s="1"/>
      <c r="B142" s="1"/>
    </row>
    <row r="143" spans="1:2" ht="12.5" x14ac:dyDescent="0.25">
      <c r="A143" s="1"/>
      <c r="B143" s="1"/>
    </row>
    <row r="144" spans="1:2" ht="12.5" x14ac:dyDescent="0.25">
      <c r="A144" s="1"/>
      <c r="B144" s="1"/>
    </row>
    <row r="145" spans="1:2" ht="12.5" x14ac:dyDescent="0.25">
      <c r="A145" s="1"/>
      <c r="B145" s="1"/>
    </row>
    <row r="146" spans="1:2" ht="12.5" x14ac:dyDescent="0.25">
      <c r="A146" s="1"/>
      <c r="B146" s="1"/>
    </row>
    <row r="147" spans="1:2" ht="12.5" x14ac:dyDescent="0.25">
      <c r="A147" s="1"/>
      <c r="B147" s="1"/>
    </row>
    <row r="148" spans="1:2" ht="12.5" x14ac:dyDescent="0.25">
      <c r="A148" s="1"/>
      <c r="B148" s="1"/>
    </row>
    <row r="149" spans="1:2" ht="12.5" x14ac:dyDescent="0.25">
      <c r="A149" s="1"/>
      <c r="B149" s="1"/>
    </row>
    <row r="150" spans="1:2" ht="12.5" x14ac:dyDescent="0.25">
      <c r="A150" s="1"/>
      <c r="B150" s="1"/>
    </row>
    <row r="151" spans="1:2" ht="12.5" x14ac:dyDescent="0.25">
      <c r="A151" s="1"/>
      <c r="B151" s="1"/>
    </row>
    <row r="152" spans="1:2" ht="12.5" x14ac:dyDescent="0.25">
      <c r="A152" s="1"/>
      <c r="B152" s="1"/>
    </row>
    <row r="153" spans="1:2" ht="12.5" x14ac:dyDescent="0.25">
      <c r="A153" s="1"/>
      <c r="B153" s="1"/>
    </row>
    <row r="154" spans="1:2" ht="12.5" x14ac:dyDescent="0.25">
      <c r="A154" s="1"/>
      <c r="B154" s="1"/>
    </row>
    <row r="155" spans="1:2" ht="12.5" x14ac:dyDescent="0.25">
      <c r="A155" s="1"/>
      <c r="B155" s="1"/>
    </row>
    <row r="156" spans="1:2" ht="12.5" x14ac:dyDescent="0.25">
      <c r="A156" s="1"/>
      <c r="B156" s="1"/>
    </row>
    <row r="157" spans="1:2" ht="12.5" x14ac:dyDescent="0.25">
      <c r="A157" s="1"/>
      <c r="B157" s="1"/>
    </row>
    <row r="158" spans="1:2" ht="12.5" x14ac:dyDescent="0.25">
      <c r="A158" s="1"/>
      <c r="B158" s="1"/>
    </row>
    <row r="159" spans="1:2" ht="12.5" x14ac:dyDescent="0.25">
      <c r="A159" s="1"/>
      <c r="B159" s="1"/>
    </row>
    <row r="160" spans="1:2" ht="12.5" x14ac:dyDescent="0.25">
      <c r="A160" s="1"/>
      <c r="B160" s="1"/>
    </row>
    <row r="161" spans="1:2" ht="12.5" x14ac:dyDescent="0.25">
      <c r="A161" s="1"/>
      <c r="B161" s="1"/>
    </row>
    <row r="162" spans="1:2" ht="12.5" x14ac:dyDescent="0.25">
      <c r="A162" s="1"/>
      <c r="B162" s="1"/>
    </row>
    <row r="163" spans="1:2" ht="12.5" x14ac:dyDescent="0.25">
      <c r="A163" s="1"/>
      <c r="B163" s="1"/>
    </row>
    <row r="164" spans="1:2" ht="12.5" x14ac:dyDescent="0.25">
      <c r="A164" s="1"/>
      <c r="B164" s="1"/>
    </row>
    <row r="165" spans="1:2" ht="12.5" x14ac:dyDescent="0.25">
      <c r="A165" s="1"/>
      <c r="B165" s="1"/>
    </row>
    <row r="166" spans="1:2" ht="12.5" x14ac:dyDescent="0.25">
      <c r="A166" s="1"/>
      <c r="B166" s="1"/>
    </row>
    <row r="167" spans="1:2" ht="12.5" x14ac:dyDescent="0.25">
      <c r="A167" s="1"/>
      <c r="B167" s="1"/>
    </row>
    <row r="168" spans="1:2" ht="12.5" x14ac:dyDescent="0.25">
      <c r="A168" s="1"/>
      <c r="B168" s="1"/>
    </row>
    <row r="169" spans="1:2" ht="12.5" x14ac:dyDescent="0.25">
      <c r="A169" s="1"/>
      <c r="B169" s="1"/>
    </row>
    <row r="170" spans="1:2" ht="12.5" x14ac:dyDescent="0.25">
      <c r="A170" s="1"/>
      <c r="B170" s="1"/>
    </row>
    <row r="171" spans="1:2" ht="12.5" x14ac:dyDescent="0.25">
      <c r="A171" s="1"/>
      <c r="B171" s="1"/>
    </row>
    <row r="172" spans="1:2" ht="12.5" x14ac:dyDescent="0.25">
      <c r="A172" s="1"/>
      <c r="B172" s="1"/>
    </row>
    <row r="173" spans="1:2" ht="12.5" x14ac:dyDescent="0.25">
      <c r="A173" s="1"/>
      <c r="B173" s="1"/>
    </row>
    <row r="174" spans="1:2" ht="12.5" x14ac:dyDescent="0.25">
      <c r="A174" s="1"/>
      <c r="B174" s="1"/>
    </row>
    <row r="175" spans="1:2" ht="12.5" x14ac:dyDescent="0.25">
      <c r="A175" s="1"/>
      <c r="B175" s="1"/>
    </row>
    <row r="176" spans="1:2" ht="12.5" x14ac:dyDescent="0.25">
      <c r="A176" s="1"/>
      <c r="B176" s="1"/>
    </row>
    <row r="177" spans="1:2" ht="12.5" x14ac:dyDescent="0.25">
      <c r="A177" s="1"/>
      <c r="B177" s="1"/>
    </row>
    <row r="178" spans="1:2" ht="12.5" x14ac:dyDescent="0.25">
      <c r="A178" s="1"/>
      <c r="B178" s="1"/>
    </row>
    <row r="179" spans="1:2" ht="12.5" x14ac:dyDescent="0.25">
      <c r="A179" s="1"/>
      <c r="B179" s="1"/>
    </row>
    <row r="180" spans="1:2" ht="12.5" x14ac:dyDescent="0.25">
      <c r="A180" s="1"/>
      <c r="B180" s="1"/>
    </row>
    <row r="181" spans="1:2" ht="12.5" x14ac:dyDescent="0.25">
      <c r="A181" s="1"/>
      <c r="B181" s="1"/>
    </row>
    <row r="182" spans="1:2" ht="12.5" x14ac:dyDescent="0.25">
      <c r="A182" s="1"/>
      <c r="B182" s="1"/>
    </row>
    <row r="183" spans="1:2" ht="12.5" x14ac:dyDescent="0.25">
      <c r="A183" s="1"/>
      <c r="B183" s="1"/>
    </row>
    <row r="184" spans="1:2" ht="12.5" x14ac:dyDescent="0.25">
      <c r="A184" s="1"/>
      <c r="B184" s="1"/>
    </row>
    <row r="185" spans="1:2" ht="12.5" x14ac:dyDescent="0.25">
      <c r="A185" s="1"/>
      <c r="B185" s="1"/>
    </row>
    <row r="186" spans="1:2" ht="12.5" x14ac:dyDescent="0.25">
      <c r="A186" s="1"/>
      <c r="B186" s="1"/>
    </row>
    <row r="187" spans="1:2" ht="12.5" x14ac:dyDescent="0.25">
      <c r="A187" s="1"/>
      <c r="B187" s="1"/>
    </row>
    <row r="188" spans="1:2" ht="12.5" x14ac:dyDescent="0.25">
      <c r="A188" s="1"/>
      <c r="B188" s="1"/>
    </row>
    <row r="189" spans="1:2" ht="12.5" x14ac:dyDescent="0.25">
      <c r="A189" s="1"/>
      <c r="B189" s="1"/>
    </row>
    <row r="190" spans="1:2" ht="12.5" x14ac:dyDescent="0.25">
      <c r="A190" s="1"/>
      <c r="B190" s="1"/>
    </row>
    <row r="191" spans="1:2" ht="12.5" x14ac:dyDescent="0.25">
      <c r="A191" s="1"/>
      <c r="B191" s="1"/>
    </row>
    <row r="192" spans="1:2" ht="12.5" x14ac:dyDescent="0.25">
      <c r="A192" s="1"/>
      <c r="B192" s="1"/>
    </row>
    <row r="193" spans="1:2" ht="12.5" x14ac:dyDescent="0.25">
      <c r="A193" s="1"/>
      <c r="B193" s="1"/>
    </row>
    <row r="194" spans="1:2" ht="12.5" x14ac:dyDescent="0.25">
      <c r="A194" s="1"/>
      <c r="B194" s="1"/>
    </row>
    <row r="195" spans="1:2" ht="12.5" x14ac:dyDescent="0.25">
      <c r="A195" s="1"/>
      <c r="B195" s="1"/>
    </row>
    <row r="196" spans="1:2" ht="12.5" x14ac:dyDescent="0.25">
      <c r="A196" s="1"/>
      <c r="B196" s="1"/>
    </row>
    <row r="197" spans="1:2" ht="12.5" x14ac:dyDescent="0.25">
      <c r="A197" s="1"/>
      <c r="B197" s="1"/>
    </row>
    <row r="198" spans="1:2" ht="12.5" x14ac:dyDescent="0.25">
      <c r="A198" s="1"/>
      <c r="B198" s="1"/>
    </row>
    <row r="199" spans="1:2" ht="12.5" x14ac:dyDescent="0.25">
      <c r="A199" s="1"/>
      <c r="B199" s="1"/>
    </row>
    <row r="200" spans="1:2" ht="12.5" x14ac:dyDescent="0.25">
      <c r="A200" s="1"/>
      <c r="B200" s="1"/>
    </row>
    <row r="201" spans="1:2" ht="12.5" x14ac:dyDescent="0.25">
      <c r="A201" s="1"/>
      <c r="B201" s="1"/>
    </row>
    <row r="202" spans="1:2" ht="12.5" x14ac:dyDescent="0.25">
      <c r="A202" s="1"/>
      <c r="B202" s="1"/>
    </row>
    <row r="203" spans="1:2" ht="12.5" x14ac:dyDescent="0.25">
      <c r="A203" s="1"/>
      <c r="B203" s="1"/>
    </row>
    <row r="204" spans="1:2" ht="12.5" x14ac:dyDescent="0.25">
      <c r="A204" s="1"/>
      <c r="B204" s="1"/>
    </row>
    <row r="205" spans="1:2" ht="12.5" x14ac:dyDescent="0.25">
      <c r="A205" s="1"/>
      <c r="B205" s="1"/>
    </row>
    <row r="206" spans="1:2" ht="12.5" x14ac:dyDescent="0.25">
      <c r="A206" s="1"/>
      <c r="B206" s="1"/>
    </row>
    <row r="207" spans="1:2" ht="12.5" x14ac:dyDescent="0.25">
      <c r="A207" s="1"/>
      <c r="B207" s="1"/>
    </row>
    <row r="208" spans="1:2" ht="12.5" x14ac:dyDescent="0.25">
      <c r="A208" s="1"/>
      <c r="B208" s="1"/>
    </row>
    <row r="209" spans="1:2" ht="12.5" x14ac:dyDescent="0.25">
      <c r="A209" s="1"/>
      <c r="B209" s="1"/>
    </row>
    <row r="210" spans="1:2" ht="12.5" x14ac:dyDescent="0.25">
      <c r="A210" s="1"/>
      <c r="B210" s="1"/>
    </row>
    <row r="211" spans="1:2" ht="12.5" x14ac:dyDescent="0.25">
      <c r="A211" s="1"/>
      <c r="B211" s="1"/>
    </row>
    <row r="212" spans="1:2" ht="12.5" x14ac:dyDescent="0.25">
      <c r="A212" s="1"/>
      <c r="B212" s="1"/>
    </row>
    <row r="213" spans="1:2" ht="12.5" x14ac:dyDescent="0.25">
      <c r="A213" s="1"/>
      <c r="B213" s="1"/>
    </row>
    <row r="214" spans="1:2" ht="12.5" x14ac:dyDescent="0.25">
      <c r="A214" s="1"/>
      <c r="B214" s="1"/>
    </row>
    <row r="215" spans="1:2" ht="12.5" x14ac:dyDescent="0.25">
      <c r="A215" s="1"/>
      <c r="B215" s="1"/>
    </row>
    <row r="216" spans="1:2" ht="12.5" x14ac:dyDescent="0.25">
      <c r="A216" s="1"/>
      <c r="B216" s="1"/>
    </row>
    <row r="217" spans="1:2" ht="12.5" x14ac:dyDescent="0.25">
      <c r="A217" s="1"/>
      <c r="B217" s="1"/>
    </row>
    <row r="218" spans="1:2" ht="12.5" x14ac:dyDescent="0.25">
      <c r="A218" s="1"/>
      <c r="B218" s="1"/>
    </row>
    <row r="219" spans="1:2" ht="12.5" x14ac:dyDescent="0.25">
      <c r="A219" s="1"/>
      <c r="B219" s="1"/>
    </row>
    <row r="220" spans="1:2" ht="12.5" x14ac:dyDescent="0.25">
      <c r="A220" s="1"/>
      <c r="B220" s="1"/>
    </row>
    <row r="221" spans="1:2" ht="12.5" x14ac:dyDescent="0.25">
      <c r="A221" s="1"/>
      <c r="B221" s="1"/>
    </row>
    <row r="222" spans="1:2" ht="12.5" x14ac:dyDescent="0.25">
      <c r="A222" s="1"/>
      <c r="B222" s="1"/>
    </row>
    <row r="223" spans="1:2" ht="12.5" x14ac:dyDescent="0.25">
      <c r="A223" s="1"/>
      <c r="B223" s="1"/>
    </row>
    <row r="224" spans="1:2" ht="12.5" x14ac:dyDescent="0.25">
      <c r="A224" s="1"/>
      <c r="B224" s="1"/>
    </row>
    <row r="225" spans="1:2" ht="12.5" x14ac:dyDescent="0.25">
      <c r="A225" s="1"/>
      <c r="B225" s="1"/>
    </row>
    <row r="226" spans="1:2" ht="12.5" x14ac:dyDescent="0.25">
      <c r="A226" s="1"/>
      <c r="B226" s="1"/>
    </row>
    <row r="227" spans="1:2" ht="12.5" x14ac:dyDescent="0.25">
      <c r="A227" s="1"/>
      <c r="B227" s="1"/>
    </row>
    <row r="228" spans="1:2" ht="12.5" x14ac:dyDescent="0.25">
      <c r="A228" s="1"/>
      <c r="B228" s="1"/>
    </row>
    <row r="229" spans="1:2" ht="12.5" x14ac:dyDescent="0.25">
      <c r="A229" s="1"/>
      <c r="B229" s="1"/>
    </row>
    <row r="230" spans="1:2" ht="12.5" x14ac:dyDescent="0.25">
      <c r="A230" s="1"/>
      <c r="B230" s="1"/>
    </row>
    <row r="231" spans="1:2" ht="12.5" x14ac:dyDescent="0.25">
      <c r="A231" s="1"/>
      <c r="B231" s="1"/>
    </row>
    <row r="232" spans="1:2" ht="12.5" x14ac:dyDescent="0.25">
      <c r="A232" s="1"/>
      <c r="B232" s="1"/>
    </row>
    <row r="233" spans="1:2" ht="12.5" x14ac:dyDescent="0.25">
      <c r="A233" s="1"/>
      <c r="B233" s="1"/>
    </row>
    <row r="234" spans="1:2" ht="12.5" x14ac:dyDescent="0.25">
      <c r="A234" s="1"/>
      <c r="B234" s="1"/>
    </row>
    <row r="235" spans="1:2" ht="12.5" x14ac:dyDescent="0.25">
      <c r="A235" s="1"/>
      <c r="B235" s="1"/>
    </row>
    <row r="236" spans="1:2" ht="12.5" x14ac:dyDescent="0.25">
      <c r="A236" s="1"/>
      <c r="B236" s="1"/>
    </row>
    <row r="237" spans="1:2" ht="12.5" x14ac:dyDescent="0.25">
      <c r="A237" s="1"/>
      <c r="B237" s="1"/>
    </row>
    <row r="238" spans="1:2" ht="12.5" x14ac:dyDescent="0.25">
      <c r="A238" s="1"/>
      <c r="B238" s="1"/>
    </row>
    <row r="239" spans="1:2" ht="12.5" x14ac:dyDescent="0.25">
      <c r="A239" s="1"/>
      <c r="B239" s="1"/>
    </row>
    <row r="240" spans="1:2" ht="12.5" x14ac:dyDescent="0.25">
      <c r="A240" s="1"/>
      <c r="B240" s="1"/>
    </row>
    <row r="241" spans="1:2" ht="12.5" x14ac:dyDescent="0.25">
      <c r="A241" s="1"/>
      <c r="B241" s="1"/>
    </row>
    <row r="242" spans="1:2" ht="12.5" x14ac:dyDescent="0.25">
      <c r="A242" s="1"/>
      <c r="B242" s="1"/>
    </row>
    <row r="243" spans="1:2" ht="12.5" x14ac:dyDescent="0.25">
      <c r="A243" s="1"/>
      <c r="B243" s="1"/>
    </row>
    <row r="244" spans="1:2" ht="12.5" x14ac:dyDescent="0.25">
      <c r="A244" s="1"/>
      <c r="B244" s="1"/>
    </row>
    <row r="245" spans="1:2" ht="12.5" x14ac:dyDescent="0.25">
      <c r="A245" s="1"/>
      <c r="B245" s="1"/>
    </row>
    <row r="246" spans="1:2" ht="12.5" x14ac:dyDescent="0.25">
      <c r="A246" s="1"/>
      <c r="B246" s="1"/>
    </row>
    <row r="247" spans="1:2" ht="12.5" x14ac:dyDescent="0.25">
      <c r="A247" s="1"/>
      <c r="B247" s="1"/>
    </row>
    <row r="248" spans="1:2" ht="12.5" x14ac:dyDescent="0.25">
      <c r="A248" s="1"/>
      <c r="B248" s="1"/>
    </row>
    <row r="249" spans="1:2" ht="12.5" x14ac:dyDescent="0.25">
      <c r="A249" s="1"/>
      <c r="B249" s="1"/>
    </row>
    <row r="250" spans="1:2" ht="12.5" x14ac:dyDescent="0.25">
      <c r="A250" s="1"/>
      <c r="B250" s="1"/>
    </row>
    <row r="251" spans="1:2" ht="12.5" x14ac:dyDescent="0.25">
      <c r="A251" s="1"/>
      <c r="B251" s="1"/>
    </row>
    <row r="252" spans="1:2" ht="12.5" x14ac:dyDescent="0.25">
      <c r="A252" s="1"/>
      <c r="B252" s="1"/>
    </row>
    <row r="253" spans="1:2" ht="12.5" x14ac:dyDescent="0.25">
      <c r="A253" s="1"/>
      <c r="B253" s="1"/>
    </row>
    <row r="254" spans="1:2" ht="12.5" x14ac:dyDescent="0.25">
      <c r="A254" s="1"/>
      <c r="B254" s="1"/>
    </row>
    <row r="255" spans="1:2" ht="12.5" x14ac:dyDescent="0.25">
      <c r="A255" s="1"/>
      <c r="B255" s="1"/>
    </row>
    <row r="256" spans="1:2" ht="12.5" x14ac:dyDescent="0.25">
      <c r="A256" s="1"/>
      <c r="B256" s="1"/>
    </row>
    <row r="257" spans="1:2" ht="12.5" x14ac:dyDescent="0.25">
      <c r="A257" s="1"/>
      <c r="B257" s="1"/>
    </row>
    <row r="258" spans="1:2" ht="12.5" x14ac:dyDescent="0.25">
      <c r="A258" s="1"/>
      <c r="B258" s="1"/>
    </row>
    <row r="259" spans="1:2" ht="12.5" x14ac:dyDescent="0.25">
      <c r="A259" s="1"/>
      <c r="B259" s="1"/>
    </row>
    <row r="260" spans="1:2" ht="12.5" x14ac:dyDescent="0.25">
      <c r="A260" s="1"/>
      <c r="B260" s="1"/>
    </row>
    <row r="261" spans="1:2" ht="12.5" x14ac:dyDescent="0.25">
      <c r="A261" s="1"/>
      <c r="B261" s="1"/>
    </row>
    <row r="262" spans="1:2" ht="12.5" x14ac:dyDescent="0.25">
      <c r="A262" s="1"/>
      <c r="B262" s="1"/>
    </row>
    <row r="263" spans="1:2" ht="12.5" x14ac:dyDescent="0.25">
      <c r="A263" s="1"/>
      <c r="B263" s="1"/>
    </row>
    <row r="264" spans="1:2" ht="12.5" x14ac:dyDescent="0.25">
      <c r="A264" s="1"/>
      <c r="B264" s="1"/>
    </row>
    <row r="265" spans="1:2" ht="12.5" x14ac:dyDescent="0.25">
      <c r="A265" s="1"/>
      <c r="B265" s="1"/>
    </row>
    <row r="266" spans="1:2" ht="12.5" x14ac:dyDescent="0.25">
      <c r="A266" s="1"/>
      <c r="B266" s="1"/>
    </row>
    <row r="267" spans="1:2" ht="12.5" x14ac:dyDescent="0.25">
      <c r="A267" s="1"/>
      <c r="B267" s="1"/>
    </row>
    <row r="268" spans="1:2" ht="12.5" x14ac:dyDescent="0.25">
      <c r="A268" s="1"/>
      <c r="B268" s="1"/>
    </row>
    <row r="269" spans="1:2" ht="12.5" x14ac:dyDescent="0.25">
      <c r="A269" s="1"/>
      <c r="B269" s="1"/>
    </row>
    <row r="270" spans="1:2" ht="12.5" x14ac:dyDescent="0.25">
      <c r="A270" s="1"/>
      <c r="B270" s="1"/>
    </row>
    <row r="271" spans="1:2" ht="12.5" x14ac:dyDescent="0.25">
      <c r="A271" s="1"/>
      <c r="B271" s="1"/>
    </row>
    <row r="272" spans="1:2" ht="12.5" x14ac:dyDescent="0.25">
      <c r="A272" s="1"/>
      <c r="B272" s="1"/>
    </row>
    <row r="273" spans="1:2" ht="12.5" x14ac:dyDescent="0.25">
      <c r="A273" s="1"/>
      <c r="B273" s="1"/>
    </row>
    <row r="274" spans="1:2" ht="12.5" x14ac:dyDescent="0.25">
      <c r="A274" s="1"/>
      <c r="B274" s="1"/>
    </row>
    <row r="275" spans="1:2" ht="12.5" x14ac:dyDescent="0.25">
      <c r="A275" s="1"/>
      <c r="B275" s="1"/>
    </row>
    <row r="276" spans="1:2" ht="12.5" x14ac:dyDescent="0.25">
      <c r="A276" s="1"/>
      <c r="B276" s="1"/>
    </row>
    <row r="277" spans="1:2" ht="12.5" x14ac:dyDescent="0.25">
      <c r="A277" s="1"/>
      <c r="B277" s="1"/>
    </row>
    <row r="278" spans="1:2" ht="12.5" x14ac:dyDescent="0.25">
      <c r="A278" s="1"/>
      <c r="B278" s="1"/>
    </row>
    <row r="279" spans="1:2" ht="12.5" x14ac:dyDescent="0.25">
      <c r="A279" s="1"/>
      <c r="B279" s="1"/>
    </row>
    <row r="280" spans="1:2" ht="12.5" x14ac:dyDescent="0.25">
      <c r="A280" s="1"/>
      <c r="B280" s="1"/>
    </row>
    <row r="281" spans="1:2" ht="12.5" x14ac:dyDescent="0.25">
      <c r="A281" s="1"/>
      <c r="B281" s="1"/>
    </row>
    <row r="282" spans="1:2" ht="12.5" x14ac:dyDescent="0.25">
      <c r="A282" s="1"/>
      <c r="B282" s="1"/>
    </row>
    <row r="283" spans="1:2" ht="12.5" x14ac:dyDescent="0.25">
      <c r="A283" s="1"/>
      <c r="B283" s="1"/>
    </row>
    <row r="284" spans="1:2" ht="12.5" x14ac:dyDescent="0.25">
      <c r="A284" s="1"/>
      <c r="B284" s="1"/>
    </row>
    <row r="285" spans="1:2" ht="12.5" x14ac:dyDescent="0.25">
      <c r="A285" s="1"/>
      <c r="B285" s="1"/>
    </row>
    <row r="286" spans="1:2" ht="12.5" x14ac:dyDescent="0.25">
      <c r="A286" s="1"/>
      <c r="B286" s="1"/>
    </row>
    <row r="287" spans="1:2" ht="12.5" x14ac:dyDescent="0.25">
      <c r="A287" s="1"/>
      <c r="B287" s="1"/>
    </row>
    <row r="288" spans="1:2" ht="12.5" x14ac:dyDescent="0.25">
      <c r="A288" s="1"/>
      <c r="B288" s="1"/>
    </row>
    <row r="289" spans="1:2" ht="12.5" x14ac:dyDescent="0.25">
      <c r="A289" s="1"/>
      <c r="B289" s="1"/>
    </row>
    <row r="290" spans="1:2" ht="12.5" x14ac:dyDescent="0.25">
      <c r="A290" s="1"/>
      <c r="B290" s="1"/>
    </row>
    <row r="291" spans="1:2" ht="12.5" x14ac:dyDescent="0.25">
      <c r="A291" s="1"/>
      <c r="B291" s="1"/>
    </row>
    <row r="292" spans="1:2" ht="12.5" x14ac:dyDescent="0.25">
      <c r="A292" s="1"/>
      <c r="B292" s="1"/>
    </row>
    <row r="293" spans="1:2" ht="12.5" x14ac:dyDescent="0.25">
      <c r="A293" s="1"/>
      <c r="B293" s="1"/>
    </row>
    <row r="294" spans="1:2" ht="12.5" x14ac:dyDescent="0.25">
      <c r="A294" s="1"/>
      <c r="B294" s="1"/>
    </row>
    <row r="295" spans="1:2" ht="12.5" x14ac:dyDescent="0.25">
      <c r="A295" s="1"/>
      <c r="B295" s="1"/>
    </row>
    <row r="296" spans="1:2" ht="12.5" x14ac:dyDescent="0.25">
      <c r="A296" s="1"/>
      <c r="B296" s="1"/>
    </row>
    <row r="297" spans="1:2" ht="12.5" x14ac:dyDescent="0.25">
      <c r="A297" s="1"/>
      <c r="B297" s="1"/>
    </row>
    <row r="298" spans="1:2" ht="12.5" x14ac:dyDescent="0.25">
      <c r="A298" s="1"/>
      <c r="B298" s="1"/>
    </row>
    <row r="299" spans="1:2" ht="12.5" x14ac:dyDescent="0.25">
      <c r="A299" s="1"/>
      <c r="B299" s="1"/>
    </row>
    <row r="300" spans="1:2" ht="12.5" x14ac:dyDescent="0.25">
      <c r="A300" s="1"/>
      <c r="B300" s="1"/>
    </row>
    <row r="301" spans="1:2" ht="12.5" x14ac:dyDescent="0.25">
      <c r="A301" s="1"/>
      <c r="B301" s="1"/>
    </row>
    <row r="302" spans="1:2" ht="12.5" x14ac:dyDescent="0.25">
      <c r="A302" s="1"/>
      <c r="B302" s="1"/>
    </row>
    <row r="303" spans="1:2" ht="12.5" x14ac:dyDescent="0.25">
      <c r="A303" s="1"/>
      <c r="B303" s="1"/>
    </row>
    <row r="304" spans="1:2" ht="12.5" x14ac:dyDescent="0.25">
      <c r="A304" s="1"/>
      <c r="B304" s="1"/>
    </row>
    <row r="305" spans="1:2" ht="12.5" x14ac:dyDescent="0.25">
      <c r="A305" s="1"/>
      <c r="B305" s="1"/>
    </row>
    <row r="306" spans="1:2" ht="12.5" x14ac:dyDescent="0.25">
      <c r="A306" s="1"/>
      <c r="B306" s="1"/>
    </row>
    <row r="307" spans="1:2" ht="12.5" x14ac:dyDescent="0.25">
      <c r="A307" s="1"/>
      <c r="B307" s="1"/>
    </row>
    <row r="308" spans="1:2" ht="12.5" x14ac:dyDescent="0.25">
      <c r="A308" s="1"/>
      <c r="B308" s="1"/>
    </row>
    <row r="309" spans="1:2" ht="12.5" x14ac:dyDescent="0.25">
      <c r="A309" s="1"/>
      <c r="B309" s="1"/>
    </row>
    <row r="310" spans="1:2" ht="12.5" x14ac:dyDescent="0.25">
      <c r="A310" s="1"/>
      <c r="B310" s="1"/>
    </row>
    <row r="311" spans="1:2" ht="12.5" x14ac:dyDescent="0.25">
      <c r="A311" s="1"/>
      <c r="B311" s="1"/>
    </row>
    <row r="312" spans="1:2" ht="12.5" x14ac:dyDescent="0.25">
      <c r="A312" s="1"/>
      <c r="B312" s="1"/>
    </row>
    <row r="313" spans="1:2" ht="12.5" x14ac:dyDescent="0.25">
      <c r="A313" s="1"/>
      <c r="B313" s="1"/>
    </row>
    <row r="314" spans="1:2" ht="12.5" x14ac:dyDescent="0.25">
      <c r="A314" s="1"/>
      <c r="B314" s="1"/>
    </row>
    <row r="315" spans="1:2" ht="12.5" x14ac:dyDescent="0.25">
      <c r="A315" s="1"/>
      <c r="B315" s="1"/>
    </row>
    <row r="316" spans="1:2" ht="12.5" x14ac:dyDescent="0.25">
      <c r="A316" s="1"/>
      <c r="B316" s="1"/>
    </row>
    <row r="317" spans="1:2" ht="12.5" x14ac:dyDescent="0.25">
      <c r="A317" s="1"/>
      <c r="B317" s="1"/>
    </row>
    <row r="318" spans="1:2" ht="12.5" x14ac:dyDescent="0.25">
      <c r="A318" s="1"/>
      <c r="B318" s="1"/>
    </row>
    <row r="319" spans="1:2" ht="12.5" x14ac:dyDescent="0.25">
      <c r="A319" s="1"/>
      <c r="B319" s="1"/>
    </row>
    <row r="320" spans="1:2" ht="12.5" x14ac:dyDescent="0.25">
      <c r="A320" s="1"/>
      <c r="B320" s="1"/>
    </row>
    <row r="321" spans="1:2" ht="12.5" x14ac:dyDescent="0.25">
      <c r="A321" s="1"/>
      <c r="B321" s="1"/>
    </row>
    <row r="322" spans="1:2" ht="12.5" x14ac:dyDescent="0.25">
      <c r="A322" s="1"/>
      <c r="B322" s="1"/>
    </row>
    <row r="323" spans="1:2" ht="12.5" x14ac:dyDescent="0.25">
      <c r="A323" s="1"/>
      <c r="B323" s="1"/>
    </row>
    <row r="324" spans="1:2" ht="12.5" x14ac:dyDescent="0.25">
      <c r="A324" s="1"/>
      <c r="B324" s="1"/>
    </row>
    <row r="325" spans="1:2" ht="12.5" x14ac:dyDescent="0.25">
      <c r="A325" s="1"/>
      <c r="B325" s="1"/>
    </row>
    <row r="326" spans="1:2" ht="12.5" x14ac:dyDescent="0.25">
      <c r="A326" s="1"/>
      <c r="B326" s="1"/>
    </row>
    <row r="327" spans="1:2" ht="12.5" x14ac:dyDescent="0.25">
      <c r="A327" s="1"/>
      <c r="B327" s="1"/>
    </row>
    <row r="328" spans="1:2" ht="12.5" x14ac:dyDescent="0.25">
      <c r="A328" s="1"/>
      <c r="B328" s="1"/>
    </row>
    <row r="329" spans="1:2" ht="12.5" x14ac:dyDescent="0.25">
      <c r="A329" s="1"/>
      <c r="B329" s="1"/>
    </row>
    <row r="330" spans="1:2" ht="12.5" x14ac:dyDescent="0.25">
      <c r="A330" s="1"/>
      <c r="B330" s="1"/>
    </row>
    <row r="331" spans="1:2" ht="12.5" x14ac:dyDescent="0.25">
      <c r="A331" s="1"/>
      <c r="B331" s="1"/>
    </row>
    <row r="332" spans="1:2" ht="12.5" x14ac:dyDescent="0.25">
      <c r="A332" s="1"/>
      <c r="B332" s="1"/>
    </row>
    <row r="333" spans="1:2" ht="12.5" x14ac:dyDescent="0.25">
      <c r="A333" s="1"/>
      <c r="B333" s="1"/>
    </row>
    <row r="334" spans="1:2" ht="12.5" x14ac:dyDescent="0.25">
      <c r="A334" s="1"/>
      <c r="B334" s="1"/>
    </row>
    <row r="335" spans="1:2" ht="12.5" x14ac:dyDescent="0.25">
      <c r="A335" s="1"/>
      <c r="B335" s="1"/>
    </row>
    <row r="336" spans="1:2" ht="12.5" x14ac:dyDescent="0.25">
      <c r="A336" s="1"/>
      <c r="B336" s="1"/>
    </row>
    <row r="337" spans="1:2" ht="12.5" x14ac:dyDescent="0.25">
      <c r="A337" s="1"/>
      <c r="B337" s="1"/>
    </row>
    <row r="338" spans="1:2" ht="12.5" x14ac:dyDescent="0.25">
      <c r="A338" s="1"/>
      <c r="B338" s="1"/>
    </row>
    <row r="339" spans="1:2" ht="12.5" x14ac:dyDescent="0.25">
      <c r="A339" s="1"/>
      <c r="B339" s="1"/>
    </row>
    <row r="340" spans="1:2" ht="12.5" x14ac:dyDescent="0.25">
      <c r="A340" s="1"/>
      <c r="B340" s="1"/>
    </row>
    <row r="341" spans="1:2" ht="12.5" x14ac:dyDescent="0.25">
      <c r="A341" s="1"/>
      <c r="B341" s="1"/>
    </row>
    <row r="342" spans="1:2" ht="12.5" x14ac:dyDescent="0.25">
      <c r="A342" s="1"/>
      <c r="B342" s="1"/>
    </row>
    <row r="343" spans="1:2" ht="12.5" x14ac:dyDescent="0.25">
      <c r="A343" s="1"/>
      <c r="B343" s="1"/>
    </row>
    <row r="344" spans="1:2" ht="12.5" x14ac:dyDescent="0.25">
      <c r="A344" s="1"/>
      <c r="B344" s="1"/>
    </row>
    <row r="345" spans="1:2" ht="12.5" x14ac:dyDescent="0.25">
      <c r="A345" s="1"/>
      <c r="B345" s="1"/>
    </row>
    <row r="346" spans="1:2" ht="12.5" x14ac:dyDescent="0.25">
      <c r="A346" s="1"/>
      <c r="B346" s="1"/>
    </row>
    <row r="347" spans="1:2" ht="12.5" x14ac:dyDescent="0.25">
      <c r="A347" s="1"/>
      <c r="B347" s="1"/>
    </row>
    <row r="348" spans="1:2" ht="12.5" x14ac:dyDescent="0.25">
      <c r="A348" s="1"/>
      <c r="B348" s="1"/>
    </row>
    <row r="349" spans="1:2" ht="12.5" x14ac:dyDescent="0.25">
      <c r="A349" s="1"/>
      <c r="B349" s="1"/>
    </row>
    <row r="350" spans="1:2" ht="12.5" x14ac:dyDescent="0.25">
      <c r="A350" s="1"/>
      <c r="B350" s="1"/>
    </row>
    <row r="351" spans="1:2" ht="12.5" x14ac:dyDescent="0.25">
      <c r="A351" s="1"/>
      <c r="B351" s="1"/>
    </row>
    <row r="352" spans="1:2" ht="12.5" x14ac:dyDescent="0.25">
      <c r="A352" s="1"/>
      <c r="B352" s="1"/>
    </row>
    <row r="353" spans="1:2" ht="12.5" x14ac:dyDescent="0.25">
      <c r="A353" s="1"/>
      <c r="B353" s="1"/>
    </row>
    <row r="354" spans="1:2" ht="12.5" x14ac:dyDescent="0.25">
      <c r="A354" s="1"/>
      <c r="B354" s="1"/>
    </row>
    <row r="355" spans="1:2" ht="12.5" x14ac:dyDescent="0.25">
      <c r="A355" s="1"/>
      <c r="B355" s="1"/>
    </row>
    <row r="356" spans="1:2" ht="12.5" x14ac:dyDescent="0.25">
      <c r="A356" s="1"/>
      <c r="B356" s="1"/>
    </row>
    <row r="357" spans="1:2" ht="12.5" x14ac:dyDescent="0.25">
      <c r="A357" s="1"/>
      <c r="B357" s="1"/>
    </row>
    <row r="358" spans="1:2" ht="12.5" x14ac:dyDescent="0.25">
      <c r="A358" s="1"/>
      <c r="B358" s="1"/>
    </row>
    <row r="359" spans="1:2" ht="12.5" x14ac:dyDescent="0.25">
      <c r="A359" s="1"/>
      <c r="B359" s="1"/>
    </row>
    <row r="360" spans="1:2" ht="12.5" x14ac:dyDescent="0.25">
      <c r="A360" s="1"/>
      <c r="B360" s="1"/>
    </row>
    <row r="361" spans="1:2" ht="12.5" x14ac:dyDescent="0.25">
      <c r="A361" s="1"/>
      <c r="B361" s="1"/>
    </row>
    <row r="362" spans="1:2" ht="12.5" x14ac:dyDescent="0.25">
      <c r="A362" s="1"/>
      <c r="B362" s="1"/>
    </row>
    <row r="363" spans="1:2" ht="12.5" x14ac:dyDescent="0.25">
      <c r="A363" s="1"/>
      <c r="B363" s="1"/>
    </row>
    <row r="364" spans="1:2" ht="12.5" x14ac:dyDescent="0.25">
      <c r="A364" s="1"/>
      <c r="B364" s="1"/>
    </row>
    <row r="365" spans="1:2" ht="12.5" x14ac:dyDescent="0.25">
      <c r="A365" s="1"/>
      <c r="B365" s="1"/>
    </row>
    <row r="366" spans="1:2" ht="12.5" x14ac:dyDescent="0.25">
      <c r="A366" s="1"/>
      <c r="B366" s="1"/>
    </row>
    <row r="367" spans="1:2" ht="12.5" x14ac:dyDescent="0.25">
      <c r="A367" s="1"/>
      <c r="B367" s="1"/>
    </row>
    <row r="368" spans="1:2" ht="12.5" x14ac:dyDescent="0.25">
      <c r="A368" s="1"/>
      <c r="B368" s="1"/>
    </row>
    <row r="369" spans="1:2" ht="12.5" x14ac:dyDescent="0.25">
      <c r="A369" s="1"/>
      <c r="B369" s="1"/>
    </row>
    <row r="370" spans="1:2" ht="12.5" x14ac:dyDescent="0.25">
      <c r="A370" s="1"/>
      <c r="B370" s="1"/>
    </row>
    <row r="371" spans="1:2" ht="12.5" x14ac:dyDescent="0.25">
      <c r="A371" s="1"/>
      <c r="B371" s="1"/>
    </row>
    <row r="372" spans="1:2" ht="12.5" x14ac:dyDescent="0.25">
      <c r="A372" s="1"/>
      <c r="B372" s="1"/>
    </row>
    <row r="373" spans="1:2" ht="12.5" x14ac:dyDescent="0.25">
      <c r="A373" s="1"/>
      <c r="B373" s="1"/>
    </row>
    <row r="374" spans="1:2" ht="12.5" x14ac:dyDescent="0.25">
      <c r="A374" s="1"/>
      <c r="B374" s="1"/>
    </row>
    <row r="375" spans="1:2" ht="12.5" x14ac:dyDescent="0.25">
      <c r="A375" s="1"/>
      <c r="B375" s="1"/>
    </row>
    <row r="376" spans="1:2" ht="12.5" x14ac:dyDescent="0.25">
      <c r="A376" s="1"/>
      <c r="B376" s="1"/>
    </row>
    <row r="377" spans="1:2" ht="12.5" x14ac:dyDescent="0.25">
      <c r="A377" s="1"/>
      <c r="B377" s="1"/>
    </row>
    <row r="378" spans="1:2" ht="12.5" x14ac:dyDescent="0.25">
      <c r="A378" s="1"/>
      <c r="B378" s="1"/>
    </row>
    <row r="379" spans="1:2" ht="12.5" x14ac:dyDescent="0.25">
      <c r="A379" s="1"/>
      <c r="B379" s="1"/>
    </row>
    <row r="380" spans="1:2" ht="12.5" x14ac:dyDescent="0.25">
      <c r="A380" s="1"/>
      <c r="B380" s="1"/>
    </row>
    <row r="381" spans="1:2" ht="12.5" x14ac:dyDescent="0.25">
      <c r="A381" s="1"/>
      <c r="B381" s="1"/>
    </row>
    <row r="382" spans="1:2" ht="12.5" x14ac:dyDescent="0.25">
      <c r="A382" s="1"/>
      <c r="B382" s="1"/>
    </row>
    <row r="383" spans="1:2" ht="12.5" x14ac:dyDescent="0.25">
      <c r="A383" s="1"/>
      <c r="B383" s="1"/>
    </row>
    <row r="384" spans="1:2" ht="12.5" x14ac:dyDescent="0.25">
      <c r="A384" s="1"/>
      <c r="B384" s="1"/>
    </row>
    <row r="385" spans="1:2" ht="12.5" x14ac:dyDescent="0.25">
      <c r="A385" s="1"/>
      <c r="B385" s="1"/>
    </row>
    <row r="386" spans="1:2" ht="12.5" x14ac:dyDescent="0.25">
      <c r="A386" s="1"/>
      <c r="B386" s="1"/>
    </row>
    <row r="387" spans="1:2" ht="12.5" x14ac:dyDescent="0.25">
      <c r="A387" s="1"/>
      <c r="B387" s="1"/>
    </row>
    <row r="388" spans="1:2" ht="12.5" x14ac:dyDescent="0.25">
      <c r="A388" s="1"/>
      <c r="B388" s="1"/>
    </row>
    <row r="389" spans="1:2" ht="12.5" x14ac:dyDescent="0.25">
      <c r="A389" s="1"/>
      <c r="B389" s="1"/>
    </row>
    <row r="390" spans="1:2" ht="12.5" x14ac:dyDescent="0.25">
      <c r="A390" s="1"/>
      <c r="B390" s="1"/>
    </row>
    <row r="391" spans="1:2" ht="12.5" x14ac:dyDescent="0.25">
      <c r="A391" s="1"/>
      <c r="B391" s="1"/>
    </row>
    <row r="392" spans="1:2" ht="12.5" x14ac:dyDescent="0.25">
      <c r="A392" s="1"/>
      <c r="B392" s="1"/>
    </row>
    <row r="393" spans="1:2" ht="12.5" x14ac:dyDescent="0.25">
      <c r="A393" s="1"/>
      <c r="B393" s="1"/>
    </row>
    <row r="394" spans="1:2" ht="12.5" x14ac:dyDescent="0.25">
      <c r="A394" s="1"/>
      <c r="B394" s="1"/>
    </row>
    <row r="395" spans="1:2" ht="12.5" x14ac:dyDescent="0.25">
      <c r="A395" s="1"/>
      <c r="B395" s="1"/>
    </row>
    <row r="396" spans="1:2" ht="12.5" x14ac:dyDescent="0.25">
      <c r="A396" s="1"/>
      <c r="B396" s="1"/>
    </row>
    <row r="397" spans="1:2" ht="12.5" x14ac:dyDescent="0.25">
      <c r="A397" s="1"/>
      <c r="B397" s="1"/>
    </row>
    <row r="398" spans="1:2" ht="12.5" x14ac:dyDescent="0.25">
      <c r="A398" s="1"/>
      <c r="B398" s="1"/>
    </row>
    <row r="399" spans="1:2" ht="12.5" x14ac:dyDescent="0.25">
      <c r="A399" s="1"/>
      <c r="B399" s="1"/>
    </row>
    <row r="400" spans="1:2" ht="12.5" x14ac:dyDescent="0.25">
      <c r="A400" s="1"/>
      <c r="B400" s="1"/>
    </row>
    <row r="401" spans="1:2" ht="12.5" x14ac:dyDescent="0.25">
      <c r="A401" s="1"/>
      <c r="B401" s="1"/>
    </row>
    <row r="402" spans="1:2" ht="12.5" x14ac:dyDescent="0.25">
      <c r="A402" s="1"/>
      <c r="B402" s="1"/>
    </row>
    <row r="403" spans="1:2" ht="12.5" x14ac:dyDescent="0.25">
      <c r="A403" s="1"/>
      <c r="B403" s="1"/>
    </row>
    <row r="404" spans="1:2" ht="12.5" x14ac:dyDescent="0.25">
      <c r="A404" s="1"/>
      <c r="B404" s="1"/>
    </row>
    <row r="405" spans="1:2" ht="12.5" x14ac:dyDescent="0.25">
      <c r="A405" s="1"/>
      <c r="B405" s="1"/>
    </row>
    <row r="406" spans="1:2" ht="12.5" x14ac:dyDescent="0.25">
      <c r="A406" s="1"/>
      <c r="B406" s="1"/>
    </row>
    <row r="407" spans="1:2" ht="12.5" x14ac:dyDescent="0.25">
      <c r="A407" s="1"/>
      <c r="B407" s="1"/>
    </row>
    <row r="408" spans="1:2" ht="12.5" x14ac:dyDescent="0.25">
      <c r="A408" s="1"/>
      <c r="B408" s="1"/>
    </row>
    <row r="409" spans="1:2" ht="12.5" x14ac:dyDescent="0.25">
      <c r="A409" s="1"/>
      <c r="B409" s="1"/>
    </row>
    <row r="410" spans="1:2" ht="12.5" x14ac:dyDescent="0.25">
      <c r="A410" s="1"/>
      <c r="B410" s="1"/>
    </row>
    <row r="411" spans="1:2" ht="12.5" x14ac:dyDescent="0.25">
      <c r="A411" s="1"/>
      <c r="B411" s="1"/>
    </row>
    <row r="412" spans="1:2" ht="12.5" x14ac:dyDescent="0.25">
      <c r="A412" s="1"/>
      <c r="B412" s="1"/>
    </row>
    <row r="413" spans="1:2" ht="12.5" x14ac:dyDescent="0.25">
      <c r="A413" s="1"/>
      <c r="B413" s="1"/>
    </row>
    <row r="414" spans="1:2" ht="12.5" x14ac:dyDescent="0.25">
      <c r="A414" s="1"/>
      <c r="B414" s="1"/>
    </row>
    <row r="415" spans="1:2" ht="12.5" x14ac:dyDescent="0.25">
      <c r="A415" s="1"/>
      <c r="B415" s="1"/>
    </row>
    <row r="416" spans="1:2" ht="12.5" x14ac:dyDescent="0.25">
      <c r="A416" s="1"/>
      <c r="B416" s="1"/>
    </row>
    <row r="417" spans="1:2" ht="12.5" x14ac:dyDescent="0.25">
      <c r="A417" s="1"/>
      <c r="B417" s="1"/>
    </row>
    <row r="418" spans="1:2" ht="12.5" x14ac:dyDescent="0.25">
      <c r="A418" s="1"/>
      <c r="B418" s="1"/>
    </row>
    <row r="419" spans="1:2" ht="12.5" x14ac:dyDescent="0.25">
      <c r="A419" s="1"/>
      <c r="B419" s="1"/>
    </row>
    <row r="420" spans="1:2" ht="12.5" x14ac:dyDescent="0.25">
      <c r="A420" s="1"/>
      <c r="B420" s="1"/>
    </row>
    <row r="421" spans="1:2" ht="12.5" x14ac:dyDescent="0.25">
      <c r="A421" s="1"/>
      <c r="B421" s="1"/>
    </row>
    <row r="422" spans="1:2" ht="12.5" x14ac:dyDescent="0.25">
      <c r="A422" s="1"/>
      <c r="B422" s="1"/>
    </row>
    <row r="423" spans="1:2" ht="12.5" x14ac:dyDescent="0.25">
      <c r="A423" s="1"/>
      <c r="B423" s="1"/>
    </row>
    <row r="424" spans="1:2" ht="12.5" x14ac:dyDescent="0.25">
      <c r="A424" s="1"/>
      <c r="B424" s="1"/>
    </row>
    <row r="425" spans="1:2" ht="12.5" x14ac:dyDescent="0.25">
      <c r="A425" s="1"/>
      <c r="B425" s="1"/>
    </row>
    <row r="426" spans="1:2" ht="12.5" x14ac:dyDescent="0.25">
      <c r="A426" s="1"/>
      <c r="B426" s="1"/>
    </row>
    <row r="427" spans="1:2" ht="12.5" x14ac:dyDescent="0.25">
      <c r="A427" s="1"/>
      <c r="B427" s="1"/>
    </row>
    <row r="428" spans="1:2" ht="12.5" x14ac:dyDescent="0.25">
      <c r="A428" s="1"/>
      <c r="B428" s="1"/>
    </row>
    <row r="429" spans="1:2" ht="12.5" x14ac:dyDescent="0.25">
      <c r="A429" s="1"/>
      <c r="B429" s="1"/>
    </row>
    <row r="430" spans="1:2" ht="12.5" x14ac:dyDescent="0.25">
      <c r="A430" s="1"/>
      <c r="B430" s="1"/>
    </row>
    <row r="431" spans="1:2" ht="12.5" x14ac:dyDescent="0.25">
      <c r="A431" s="1"/>
      <c r="B431" s="1"/>
    </row>
    <row r="432" spans="1:2" ht="12.5" x14ac:dyDescent="0.25">
      <c r="A432" s="1"/>
      <c r="B432" s="1"/>
    </row>
    <row r="433" spans="1:2" ht="12.5" x14ac:dyDescent="0.25">
      <c r="A433" s="1"/>
      <c r="B433" s="1"/>
    </row>
    <row r="434" spans="1:2" ht="12.5" x14ac:dyDescent="0.25">
      <c r="A434" s="1"/>
      <c r="B434" s="1"/>
    </row>
    <row r="435" spans="1:2" ht="12.5" x14ac:dyDescent="0.25">
      <c r="A435" s="1"/>
      <c r="B435" s="1"/>
    </row>
    <row r="436" spans="1:2" ht="12.5" x14ac:dyDescent="0.25">
      <c r="A436" s="1"/>
      <c r="B436" s="1"/>
    </row>
    <row r="437" spans="1:2" ht="12.5" x14ac:dyDescent="0.25">
      <c r="A437" s="1"/>
      <c r="B437" s="1"/>
    </row>
    <row r="438" spans="1:2" ht="12.5" x14ac:dyDescent="0.25">
      <c r="A438" s="1"/>
      <c r="B438" s="1"/>
    </row>
    <row r="439" spans="1:2" ht="12.5" x14ac:dyDescent="0.25">
      <c r="A439" s="1"/>
      <c r="B439" s="1"/>
    </row>
    <row r="440" spans="1:2" ht="12.5" x14ac:dyDescent="0.25">
      <c r="A440" s="1"/>
      <c r="B440" s="1"/>
    </row>
    <row r="441" spans="1:2" ht="12.5" x14ac:dyDescent="0.25">
      <c r="A441" s="1"/>
      <c r="B441" s="1"/>
    </row>
    <row r="442" spans="1:2" ht="12.5" x14ac:dyDescent="0.25">
      <c r="A442" s="1"/>
      <c r="B442" s="1"/>
    </row>
    <row r="443" spans="1:2" ht="12.5" x14ac:dyDescent="0.25">
      <c r="A443" s="1"/>
      <c r="B443" s="1"/>
    </row>
    <row r="444" spans="1:2" ht="12.5" x14ac:dyDescent="0.25">
      <c r="A444" s="1"/>
      <c r="B444" s="1"/>
    </row>
    <row r="445" spans="1:2" ht="12.5" x14ac:dyDescent="0.25">
      <c r="A445" s="1"/>
      <c r="B445" s="1"/>
    </row>
    <row r="446" spans="1:2" ht="12.5" x14ac:dyDescent="0.25">
      <c r="A446" s="1"/>
      <c r="B446" s="1"/>
    </row>
    <row r="447" spans="1:2" ht="12.5" x14ac:dyDescent="0.25">
      <c r="A447" s="1"/>
      <c r="B447" s="1"/>
    </row>
    <row r="448" spans="1:2" ht="12.5" x14ac:dyDescent="0.25">
      <c r="A448" s="1"/>
      <c r="B448" s="1"/>
    </row>
    <row r="449" spans="1:2" ht="12.5" x14ac:dyDescent="0.25">
      <c r="A449" s="1"/>
      <c r="B449" s="1"/>
    </row>
    <row r="450" spans="1:2" ht="12.5" x14ac:dyDescent="0.25">
      <c r="A450" s="1"/>
      <c r="B450" s="1"/>
    </row>
    <row r="451" spans="1:2" ht="12.5" x14ac:dyDescent="0.25">
      <c r="A451" s="1"/>
      <c r="B451" s="1"/>
    </row>
    <row r="452" spans="1:2" ht="12.5" x14ac:dyDescent="0.25">
      <c r="A452" s="1"/>
      <c r="B452" s="1"/>
    </row>
    <row r="453" spans="1:2" ht="12.5" x14ac:dyDescent="0.25">
      <c r="A453" s="1"/>
      <c r="B453" s="1"/>
    </row>
    <row r="454" spans="1:2" ht="12.5" x14ac:dyDescent="0.25">
      <c r="A454" s="1"/>
      <c r="B454" s="1"/>
    </row>
    <row r="455" spans="1:2" ht="12.5" x14ac:dyDescent="0.25">
      <c r="A455" s="1"/>
      <c r="B455" s="1"/>
    </row>
    <row r="456" spans="1:2" ht="12.5" x14ac:dyDescent="0.25">
      <c r="A456" s="1"/>
      <c r="B456" s="1"/>
    </row>
    <row r="457" spans="1:2" ht="12.5" x14ac:dyDescent="0.25">
      <c r="A457" s="1"/>
      <c r="B457" s="1"/>
    </row>
    <row r="458" spans="1:2" ht="12.5" x14ac:dyDescent="0.25">
      <c r="A458" s="1"/>
      <c r="B458" s="1"/>
    </row>
    <row r="459" spans="1:2" ht="12.5" x14ac:dyDescent="0.25">
      <c r="A459" s="1"/>
      <c r="B459" s="1"/>
    </row>
    <row r="460" spans="1:2" ht="12.5" x14ac:dyDescent="0.25">
      <c r="A460" s="1"/>
      <c r="B460" s="1"/>
    </row>
    <row r="461" spans="1:2" ht="12.5" x14ac:dyDescent="0.25">
      <c r="A461" s="1"/>
      <c r="B461" s="1"/>
    </row>
    <row r="462" spans="1:2" ht="12.5" x14ac:dyDescent="0.25">
      <c r="A462" s="1"/>
      <c r="B462" s="1"/>
    </row>
    <row r="463" spans="1:2" ht="12.5" x14ac:dyDescent="0.25">
      <c r="A463" s="1"/>
      <c r="B463" s="1"/>
    </row>
    <row r="464" spans="1:2" ht="12.5" x14ac:dyDescent="0.25">
      <c r="A464" s="1"/>
      <c r="B464" s="1"/>
    </row>
    <row r="465" spans="1:2" ht="12.5" x14ac:dyDescent="0.25">
      <c r="A465" s="1"/>
      <c r="B465" s="1"/>
    </row>
    <row r="466" spans="1:2" ht="12.5" x14ac:dyDescent="0.25">
      <c r="A466" s="1"/>
      <c r="B466" s="1"/>
    </row>
    <row r="467" spans="1:2" ht="12.5" x14ac:dyDescent="0.25">
      <c r="A467" s="1"/>
      <c r="B467" s="1"/>
    </row>
    <row r="468" spans="1:2" ht="12.5" x14ac:dyDescent="0.25">
      <c r="A468" s="1"/>
      <c r="B468" s="1"/>
    </row>
    <row r="469" spans="1:2" ht="12.5" x14ac:dyDescent="0.25">
      <c r="A469" s="1"/>
      <c r="B469" s="1"/>
    </row>
    <row r="470" spans="1:2" ht="12.5" x14ac:dyDescent="0.25">
      <c r="A470" s="1"/>
      <c r="B470" s="1"/>
    </row>
    <row r="471" spans="1:2" ht="12.5" x14ac:dyDescent="0.25">
      <c r="A471" s="1"/>
      <c r="B471" s="1"/>
    </row>
    <row r="472" spans="1:2" ht="12.5" x14ac:dyDescent="0.25">
      <c r="A472" s="1"/>
      <c r="B472" s="1"/>
    </row>
    <row r="473" spans="1:2" ht="12.5" x14ac:dyDescent="0.25">
      <c r="A473" s="1"/>
      <c r="B473" s="1"/>
    </row>
    <row r="474" spans="1:2" ht="12.5" x14ac:dyDescent="0.25">
      <c r="A474" s="1"/>
      <c r="B474" s="1"/>
    </row>
    <row r="475" spans="1:2" ht="12.5" x14ac:dyDescent="0.25">
      <c r="A475" s="1"/>
      <c r="B475" s="1"/>
    </row>
    <row r="476" spans="1:2" ht="12.5" x14ac:dyDescent="0.25">
      <c r="A476" s="1"/>
      <c r="B476" s="1"/>
    </row>
    <row r="477" spans="1:2" ht="12.5" x14ac:dyDescent="0.25">
      <c r="A477" s="1"/>
      <c r="B477" s="1"/>
    </row>
    <row r="478" spans="1:2" ht="12.5" x14ac:dyDescent="0.25">
      <c r="A478" s="1"/>
      <c r="B478" s="1"/>
    </row>
    <row r="479" spans="1:2" ht="12.5" x14ac:dyDescent="0.25">
      <c r="A479" s="1"/>
      <c r="B479" s="1"/>
    </row>
    <row r="480" spans="1:2" ht="12.5" x14ac:dyDescent="0.25">
      <c r="A480" s="1"/>
      <c r="B480" s="1"/>
    </row>
    <row r="481" spans="1:2" ht="12.5" x14ac:dyDescent="0.25">
      <c r="A481" s="1"/>
      <c r="B481" s="1"/>
    </row>
    <row r="482" spans="1:2" ht="12.5" x14ac:dyDescent="0.25">
      <c r="A482" s="1"/>
      <c r="B482" s="1"/>
    </row>
    <row r="483" spans="1:2" ht="12.5" x14ac:dyDescent="0.25">
      <c r="A483" s="1"/>
      <c r="B483" s="1"/>
    </row>
    <row r="484" spans="1:2" ht="12.5" x14ac:dyDescent="0.25">
      <c r="A484" s="1"/>
      <c r="B484" s="1"/>
    </row>
    <row r="485" spans="1:2" ht="12.5" x14ac:dyDescent="0.25">
      <c r="A485" s="1"/>
      <c r="B485" s="1"/>
    </row>
    <row r="486" spans="1:2" ht="12.5" x14ac:dyDescent="0.25">
      <c r="A486" s="1"/>
      <c r="B486" s="1"/>
    </row>
    <row r="487" spans="1:2" ht="12.5" x14ac:dyDescent="0.25">
      <c r="A487" s="1"/>
      <c r="B487" s="1"/>
    </row>
    <row r="488" spans="1:2" ht="12.5" x14ac:dyDescent="0.25">
      <c r="A488" s="1"/>
      <c r="B488" s="1"/>
    </row>
    <row r="489" spans="1:2" ht="12.5" x14ac:dyDescent="0.25">
      <c r="A489" s="1"/>
      <c r="B489" s="1"/>
    </row>
    <row r="490" spans="1:2" ht="12.5" x14ac:dyDescent="0.25">
      <c r="A490" s="1"/>
      <c r="B490" s="1"/>
    </row>
    <row r="491" spans="1:2" ht="12.5" x14ac:dyDescent="0.25">
      <c r="A491" s="1"/>
      <c r="B491" s="1"/>
    </row>
    <row r="492" spans="1:2" ht="12.5" x14ac:dyDescent="0.25">
      <c r="A492" s="1"/>
      <c r="B492" s="1"/>
    </row>
    <row r="493" spans="1:2" ht="12.5" x14ac:dyDescent="0.25">
      <c r="A493" s="1"/>
      <c r="B493" s="1"/>
    </row>
    <row r="494" spans="1:2" ht="12.5" x14ac:dyDescent="0.25">
      <c r="A494" s="1"/>
      <c r="B494" s="1"/>
    </row>
    <row r="495" spans="1:2" ht="12.5" x14ac:dyDescent="0.25">
      <c r="A495" s="1"/>
      <c r="B495" s="1"/>
    </row>
    <row r="496" spans="1:2" ht="12.5" x14ac:dyDescent="0.25">
      <c r="A496" s="1"/>
      <c r="B496" s="1"/>
    </row>
    <row r="497" spans="1:2" ht="12.5" x14ac:dyDescent="0.25">
      <c r="A497" s="1"/>
      <c r="B497" s="1"/>
    </row>
    <row r="498" spans="1:2" ht="12.5" x14ac:dyDescent="0.25">
      <c r="A498" s="1"/>
      <c r="B498" s="1"/>
    </row>
    <row r="499" spans="1:2" ht="12.5" x14ac:dyDescent="0.25">
      <c r="A499" s="1"/>
      <c r="B499" s="1"/>
    </row>
    <row r="500" spans="1:2" ht="12.5" x14ac:dyDescent="0.25">
      <c r="A500" s="1"/>
      <c r="B500" s="1"/>
    </row>
    <row r="501" spans="1:2" ht="12.5" x14ac:dyDescent="0.25">
      <c r="A501" s="1"/>
      <c r="B501" s="1"/>
    </row>
    <row r="502" spans="1:2" ht="12.5" x14ac:dyDescent="0.25">
      <c r="A502" s="1"/>
      <c r="B502" s="1"/>
    </row>
    <row r="503" spans="1:2" ht="12.5" x14ac:dyDescent="0.25">
      <c r="A503" s="1"/>
      <c r="B503" s="1"/>
    </row>
    <row r="504" spans="1:2" ht="12.5" x14ac:dyDescent="0.25">
      <c r="A504" s="1"/>
      <c r="B504" s="1"/>
    </row>
    <row r="505" spans="1:2" ht="12.5" x14ac:dyDescent="0.25">
      <c r="A505" s="1"/>
      <c r="B505" s="1"/>
    </row>
    <row r="506" spans="1:2" ht="12.5" x14ac:dyDescent="0.25">
      <c r="A506" s="1"/>
      <c r="B506" s="1"/>
    </row>
    <row r="507" spans="1:2" ht="12.5" x14ac:dyDescent="0.25">
      <c r="A507" s="1"/>
      <c r="B507" s="1"/>
    </row>
    <row r="508" spans="1:2" ht="12.5" x14ac:dyDescent="0.25">
      <c r="A508" s="1"/>
      <c r="B508" s="1"/>
    </row>
    <row r="509" spans="1:2" ht="12.5" x14ac:dyDescent="0.25">
      <c r="A509" s="1"/>
      <c r="B509" s="1"/>
    </row>
    <row r="510" spans="1:2" ht="12.5" x14ac:dyDescent="0.25">
      <c r="A510" s="1"/>
      <c r="B510" s="1"/>
    </row>
    <row r="511" spans="1:2" ht="12.5" x14ac:dyDescent="0.25">
      <c r="A511" s="1"/>
      <c r="B511" s="1"/>
    </row>
    <row r="512" spans="1:2" ht="12.5" x14ac:dyDescent="0.25">
      <c r="A512" s="1"/>
      <c r="B512" s="1"/>
    </row>
    <row r="513" spans="1:2" ht="12.5" x14ac:dyDescent="0.25">
      <c r="A513" s="1"/>
      <c r="B513" s="1"/>
    </row>
    <row r="514" spans="1:2" ht="12.5" x14ac:dyDescent="0.25">
      <c r="A514" s="1"/>
      <c r="B514" s="1"/>
    </row>
    <row r="515" spans="1:2" ht="12.5" x14ac:dyDescent="0.25">
      <c r="A515" s="1"/>
      <c r="B515" s="1"/>
    </row>
    <row r="516" spans="1:2" ht="12.5" x14ac:dyDescent="0.25">
      <c r="A516" s="1"/>
      <c r="B516" s="1"/>
    </row>
    <row r="517" spans="1:2" ht="12.5" x14ac:dyDescent="0.25">
      <c r="A517" s="1"/>
      <c r="B517" s="1"/>
    </row>
    <row r="518" spans="1:2" ht="12.5" x14ac:dyDescent="0.25">
      <c r="A518" s="1"/>
      <c r="B518" s="1"/>
    </row>
    <row r="519" spans="1:2" ht="12.5" x14ac:dyDescent="0.25">
      <c r="A519" s="1"/>
      <c r="B519" s="1"/>
    </row>
    <row r="520" spans="1:2" ht="12.5" x14ac:dyDescent="0.25">
      <c r="A520" s="1"/>
      <c r="B520" s="1"/>
    </row>
    <row r="521" spans="1:2" ht="12.5" x14ac:dyDescent="0.25">
      <c r="A521" s="1"/>
      <c r="B521" s="1"/>
    </row>
    <row r="522" spans="1:2" ht="12.5" x14ac:dyDescent="0.25">
      <c r="A522" s="1"/>
      <c r="B522" s="1"/>
    </row>
    <row r="523" spans="1:2" ht="12.5" x14ac:dyDescent="0.25">
      <c r="A523" s="1"/>
      <c r="B523" s="1"/>
    </row>
    <row r="524" spans="1:2" ht="12.5" x14ac:dyDescent="0.25">
      <c r="A524" s="1"/>
      <c r="B524" s="1"/>
    </row>
    <row r="525" spans="1:2" ht="12.5" x14ac:dyDescent="0.25">
      <c r="A525" s="1"/>
      <c r="B525" s="1"/>
    </row>
    <row r="526" spans="1:2" ht="12.5" x14ac:dyDescent="0.25">
      <c r="A526" s="1"/>
      <c r="B526" s="1"/>
    </row>
    <row r="527" spans="1:2" ht="12.5" x14ac:dyDescent="0.25">
      <c r="A527" s="1"/>
      <c r="B527" s="1"/>
    </row>
    <row r="528" spans="1:2" ht="12.5" x14ac:dyDescent="0.25">
      <c r="A528" s="1"/>
      <c r="B528" s="1"/>
    </row>
    <row r="529" spans="1:2" ht="12.5" x14ac:dyDescent="0.25">
      <c r="A529" s="1"/>
      <c r="B529" s="1"/>
    </row>
    <row r="530" spans="1:2" ht="12.5" x14ac:dyDescent="0.25">
      <c r="A530" s="1"/>
      <c r="B530" s="1"/>
    </row>
    <row r="531" spans="1:2" ht="12.5" x14ac:dyDescent="0.25">
      <c r="A531" s="1"/>
      <c r="B531" s="1"/>
    </row>
    <row r="532" spans="1:2" ht="12.5" x14ac:dyDescent="0.25">
      <c r="A532" s="1"/>
      <c r="B532" s="1"/>
    </row>
    <row r="533" spans="1:2" ht="12.5" x14ac:dyDescent="0.25">
      <c r="A533" s="1"/>
      <c r="B533" s="1"/>
    </row>
    <row r="534" spans="1:2" ht="12.5" x14ac:dyDescent="0.25">
      <c r="A534" s="1"/>
      <c r="B534" s="1"/>
    </row>
    <row r="535" spans="1:2" ht="12.5" x14ac:dyDescent="0.25">
      <c r="A535" s="1"/>
      <c r="B535" s="1"/>
    </row>
    <row r="536" spans="1:2" ht="12.5" x14ac:dyDescent="0.25">
      <c r="A536" s="1"/>
      <c r="B536" s="1"/>
    </row>
    <row r="537" spans="1:2" ht="12.5" x14ac:dyDescent="0.25">
      <c r="A537" s="1"/>
      <c r="B537" s="1"/>
    </row>
    <row r="538" spans="1:2" ht="12.5" x14ac:dyDescent="0.25">
      <c r="A538" s="1"/>
      <c r="B538" s="1"/>
    </row>
    <row r="539" spans="1:2" ht="12.5" x14ac:dyDescent="0.25">
      <c r="A539" s="1"/>
      <c r="B539" s="1"/>
    </row>
    <row r="540" spans="1:2" ht="12.5" x14ac:dyDescent="0.25">
      <c r="A540" s="1"/>
      <c r="B540" s="1"/>
    </row>
    <row r="541" spans="1:2" ht="12.5" x14ac:dyDescent="0.25">
      <c r="A541" s="1"/>
      <c r="B541" s="1"/>
    </row>
    <row r="542" spans="1:2" ht="12.5" x14ac:dyDescent="0.25">
      <c r="A542" s="1"/>
      <c r="B542" s="1"/>
    </row>
    <row r="543" spans="1:2" ht="12.5" x14ac:dyDescent="0.25">
      <c r="A543" s="1"/>
      <c r="B543" s="1"/>
    </row>
    <row r="544" spans="1:2" ht="12.5" x14ac:dyDescent="0.25">
      <c r="A544" s="1"/>
      <c r="B544" s="1"/>
    </row>
    <row r="545" spans="1:2" ht="12.5" x14ac:dyDescent="0.25">
      <c r="A545" s="1"/>
      <c r="B545" s="1"/>
    </row>
    <row r="546" spans="1:2" ht="12.5" x14ac:dyDescent="0.25">
      <c r="A546" s="1"/>
      <c r="B546" s="1"/>
    </row>
    <row r="547" spans="1:2" ht="12.5" x14ac:dyDescent="0.25">
      <c r="A547" s="1"/>
      <c r="B547" s="1"/>
    </row>
    <row r="548" spans="1:2" ht="12.5" x14ac:dyDescent="0.25">
      <c r="A548" s="1"/>
      <c r="B548" s="1"/>
    </row>
    <row r="549" spans="1:2" ht="12.5" x14ac:dyDescent="0.25">
      <c r="A549" s="1"/>
      <c r="B549" s="1"/>
    </row>
    <row r="550" spans="1:2" ht="12.5" x14ac:dyDescent="0.25">
      <c r="A550" s="1"/>
      <c r="B550" s="1"/>
    </row>
    <row r="551" spans="1:2" ht="12.5" x14ac:dyDescent="0.25">
      <c r="A551" s="1"/>
      <c r="B551" s="1"/>
    </row>
    <row r="552" spans="1:2" ht="12.5" x14ac:dyDescent="0.25">
      <c r="A552" s="1"/>
      <c r="B552" s="1"/>
    </row>
    <row r="553" spans="1:2" ht="12.5" x14ac:dyDescent="0.25">
      <c r="A553" s="1"/>
      <c r="B553" s="1"/>
    </row>
    <row r="554" spans="1:2" ht="12.5" x14ac:dyDescent="0.25">
      <c r="A554" s="1"/>
      <c r="B554" s="1"/>
    </row>
    <row r="555" spans="1:2" ht="12.5" x14ac:dyDescent="0.25">
      <c r="A555" s="1"/>
      <c r="B555" s="1"/>
    </row>
    <row r="556" spans="1:2" ht="12.5" x14ac:dyDescent="0.25">
      <c r="A556" s="1"/>
      <c r="B556" s="1"/>
    </row>
    <row r="557" spans="1:2" ht="12.5" x14ac:dyDescent="0.25">
      <c r="A557" s="1"/>
      <c r="B557" s="1"/>
    </row>
    <row r="558" spans="1:2" ht="12.5" x14ac:dyDescent="0.25">
      <c r="A558" s="1"/>
      <c r="B558" s="1"/>
    </row>
    <row r="559" spans="1:2" ht="12.5" x14ac:dyDescent="0.25">
      <c r="A559" s="1"/>
      <c r="B559" s="1"/>
    </row>
    <row r="560" spans="1:2" ht="12.5" x14ac:dyDescent="0.25">
      <c r="A560" s="1"/>
      <c r="B560" s="1"/>
    </row>
    <row r="561" spans="1:2" ht="12.5" x14ac:dyDescent="0.25">
      <c r="A561" s="1"/>
      <c r="B561" s="1"/>
    </row>
    <row r="562" spans="1:2" ht="12.5" x14ac:dyDescent="0.25">
      <c r="A562" s="1"/>
      <c r="B562" s="1"/>
    </row>
    <row r="563" spans="1:2" ht="12.5" x14ac:dyDescent="0.25">
      <c r="A563" s="1"/>
      <c r="B563" s="1"/>
    </row>
    <row r="564" spans="1:2" ht="12.5" x14ac:dyDescent="0.25">
      <c r="A564" s="1"/>
      <c r="B564" s="1"/>
    </row>
    <row r="565" spans="1:2" ht="12.5" x14ac:dyDescent="0.25">
      <c r="A565" s="1"/>
      <c r="B565" s="1"/>
    </row>
    <row r="566" spans="1:2" ht="12.5" x14ac:dyDescent="0.25">
      <c r="A566" s="1"/>
      <c r="B566" s="1"/>
    </row>
    <row r="567" spans="1:2" ht="12.5" x14ac:dyDescent="0.25">
      <c r="A567" s="1"/>
      <c r="B567" s="1"/>
    </row>
    <row r="568" spans="1:2" ht="12.5" x14ac:dyDescent="0.25">
      <c r="A568" s="1"/>
      <c r="B568" s="1"/>
    </row>
    <row r="569" spans="1:2" ht="12.5" x14ac:dyDescent="0.25">
      <c r="A569" s="1"/>
      <c r="B569" s="1"/>
    </row>
    <row r="570" spans="1:2" ht="12.5" x14ac:dyDescent="0.25">
      <c r="A570" s="1"/>
      <c r="B570" s="1"/>
    </row>
    <row r="571" spans="1:2" ht="12.5" x14ac:dyDescent="0.25">
      <c r="A571" s="1"/>
      <c r="B571" s="1"/>
    </row>
    <row r="572" spans="1:2" ht="12.5" x14ac:dyDescent="0.25">
      <c r="A572" s="1"/>
      <c r="B572" s="1"/>
    </row>
    <row r="573" spans="1:2" ht="12.5" x14ac:dyDescent="0.25">
      <c r="A573" s="1"/>
      <c r="B573" s="1"/>
    </row>
    <row r="574" spans="1:2" ht="12.5" x14ac:dyDescent="0.25">
      <c r="A574" s="1"/>
      <c r="B574" s="1"/>
    </row>
    <row r="575" spans="1:2" ht="12.5" x14ac:dyDescent="0.25">
      <c r="A575" s="1"/>
      <c r="B575" s="1"/>
    </row>
    <row r="576" spans="1:2" ht="12.5" x14ac:dyDescent="0.25">
      <c r="A576" s="1"/>
      <c r="B576" s="1"/>
    </row>
    <row r="577" spans="1:2" ht="12.5" x14ac:dyDescent="0.25">
      <c r="A577" s="1"/>
      <c r="B577" s="1"/>
    </row>
    <row r="578" spans="1:2" ht="12.5" x14ac:dyDescent="0.25">
      <c r="A578" s="1"/>
      <c r="B578" s="1"/>
    </row>
    <row r="579" spans="1:2" ht="12.5" x14ac:dyDescent="0.25">
      <c r="A579" s="1"/>
      <c r="B579" s="1"/>
    </row>
    <row r="580" spans="1:2" ht="12.5" x14ac:dyDescent="0.25">
      <c r="A580" s="1"/>
      <c r="B580" s="1"/>
    </row>
    <row r="581" spans="1:2" ht="12.5" x14ac:dyDescent="0.25">
      <c r="A581" s="1"/>
      <c r="B581" s="1"/>
    </row>
    <row r="582" spans="1:2" ht="12.5" x14ac:dyDescent="0.25">
      <c r="A582" s="1"/>
      <c r="B582" s="1"/>
    </row>
    <row r="583" spans="1:2" ht="12.5" x14ac:dyDescent="0.25">
      <c r="A583" s="1"/>
      <c r="B583" s="1"/>
    </row>
    <row r="584" spans="1:2" ht="12.5" x14ac:dyDescent="0.25">
      <c r="A584" s="1"/>
      <c r="B584" s="1"/>
    </row>
    <row r="585" spans="1:2" ht="12.5" x14ac:dyDescent="0.25">
      <c r="A585" s="1"/>
      <c r="B585" s="1"/>
    </row>
    <row r="586" spans="1:2" ht="12.5" x14ac:dyDescent="0.25">
      <c r="A586" s="1"/>
      <c r="B586" s="1"/>
    </row>
    <row r="587" spans="1:2" ht="12.5" x14ac:dyDescent="0.25">
      <c r="A587" s="1"/>
      <c r="B587" s="1"/>
    </row>
    <row r="588" spans="1:2" ht="12.5" x14ac:dyDescent="0.25">
      <c r="A588" s="1"/>
      <c r="B588" s="1"/>
    </row>
    <row r="589" spans="1:2" ht="12.5" x14ac:dyDescent="0.25">
      <c r="A589" s="1"/>
      <c r="B589" s="1"/>
    </row>
    <row r="590" spans="1:2" ht="12.5" x14ac:dyDescent="0.25">
      <c r="A590" s="1"/>
      <c r="B590" s="1"/>
    </row>
    <row r="591" spans="1:2" ht="12.5" x14ac:dyDescent="0.25">
      <c r="A591" s="1"/>
      <c r="B591" s="1"/>
    </row>
    <row r="592" spans="1:2" ht="12.5" x14ac:dyDescent="0.25">
      <c r="A592" s="1"/>
      <c r="B592" s="1"/>
    </row>
    <row r="593" spans="1:2" ht="12.5" x14ac:dyDescent="0.25">
      <c r="A593" s="1"/>
      <c r="B593" s="1"/>
    </row>
    <row r="594" spans="1:2" ht="12.5" x14ac:dyDescent="0.25">
      <c r="A594" s="1"/>
      <c r="B594" s="1"/>
    </row>
    <row r="595" spans="1:2" ht="12.5" x14ac:dyDescent="0.25">
      <c r="A595" s="1"/>
      <c r="B595" s="1"/>
    </row>
    <row r="596" spans="1:2" ht="12.5" x14ac:dyDescent="0.25">
      <c r="A596" s="1"/>
      <c r="B596" s="1"/>
    </row>
    <row r="597" spans="1:2" ht="12.5" x14ac:dyDescent="0.25">
      <c r="A597" s="1"/>
      <c r="B597" s="1"/>
    </row>
    <row r="598" spans="1:2" ht="12.5" x14ac:dyDescent="0.25">
      <c r="A598" s="1"/>
      <c r="B598" s="1"/>
    </row>
    <row r="599" spans="1:2" ht="12.5" x14ac:dyDescent="0.25">
      <c r="A599" s="1"/>
      <c r="B599" s="1"/>
    </row>
    <row r="600" spans="1:2" ht="12.5" x14ac:dyDescent="0.25">
      <c r="A600" s="1"/>
      <c r="B600" s="1"/>
    </row>
    <row r="601" spans="1:2" ht="12.5" x14ac:dyDescent="0.25">
      <c r="A601" s="1"/>
      <c r="B601" s="1"/>
    </row>
    <row r="602" spans="1:2" ht="12.5" x14ac:dyDescent="0.25">
      <c r="A602" s="1"/>
      <c r="B602" s="1"/>
    </row>
    <row r="603" spans="1:2" ht="12.5" x14ac:dyDescent="0.25">
      <c r="A603" s="1"/>
      <c r="B603" s="1"/>
    </row>
    <row r="604" spans="1:2" ht="12.5" x14ac:dyDescent="0.25">
      <c r="A604" s="1"/>
      <c r="B604" s="1"/>
    </row>
    <row r="605" spans="1:2" ht="12.5" x14ac:dyDescent="0.25">
      <c r="A605" s="1"/>
      <c r="B605" s="1"/>
    </row>
    <row r="606" spans="1:2" ht="12.5" x14ac:dyDescent="0.25">
      <c r="A606" s="1"/>
      <c r="B606" s="1"/>
    </row>
    <row r="607" spans="1:2" ht="12.5" x14ac:dyDescent="0.25">
      <c r="A607" s="1"/>
      <c r="B607" s="1"/>
    </row>
    <row r="608" spans="1:2" ht="12.5" x14ac:dyDescent="0.25">
      <c r="A608" s="1"/>
      <c r="B608" s="1"/>
    </row>
    <row r="609" spans="1:2" ht="12.5" x14ac:dyDescent="0.25">
      <c r="A609" s="1"/>
      <c r="B609" s="1"/>
    </row>
    <row r="610" spans="1:2" ht="12.5" x14ac:dyDescent="0.25">
      <c r="A610" s="1"/>
      <c r="B610" s="1"/>
    </row>
    <row r="611" spans="1:2" ht="12.5" x14ac:dyDescent="0.25">
      <c r="A611" s="1"/>
      <c r="B611" s="1"/>
    </row>
    <row r="612" spans="1:2" ht="12.5" x14ac:dyDescent="0.25">
      <c r="A612" s="1"/>
      <c r="B612" s="1"/>
    </row>
    <row r="613" spans="1:2" ht="12.5" x14ac:dyDescent="0.25">
      <c r="A613" s="1"/>
      <c r="B613" s="1"/>
    </row>
    <row r="614" spans="1:2" ht="12.5" x14ac:dyDescent="0.25">
      <c r="A614" s="1"/>
      <c r="B614" s="1"/>
    </row>
    <row r="615" spans="1:2" ht="12.5" x14ac:dyDescent="0.25">
      <c r="A615" s="1"/>
      <c r="B615" s="1"/>
    </row>
    <row r="616" spans="1:2" ht="12.5" x14ac:dyDescent="0.25">
      <c r="A616" s="1"/>
      <c r="B616" s="1"/>
    </row>
    <row r="617" spans="1:2" ht="12.5" x14ac:dyDescent="0.25">
      <c r="A617" s="1"/>
      <c r="B617" s="1"/>
    </row>
    <row r="618" spans="1:2" ht="12.5" x14ac:dyDescent="0.25">
      <c r="A618" s="1"/>
      <c r="B618" s="1"/>
    </row>
    <row r="619" spans="1:2" ht="12.5" x14ac:dyDescent="0.25">
      <c r="A619" s="1"/>
      <c r="B619" s="1"/>
    </row>
    <row r="620" spans="1:2" ht="12.5" x14ac:dyDescent="0.25">
      <c r="A620" s="1"/>
      <c r="B620" s="1"/>
    </row>
    <row r="621" spans="1:2" ht="12.5" x14ac:dyDescent="0.25">
      <c r="A621" s="1"/>
      <c r="B621" s="1"/>
    </row>
    <row r="622" spans="1:2" ht="12.5" x14ac:dyDescent="0.25">
      <c r="A622" s="1"/>
      <c r="B622" s="1"/>
    </row>
    <row r="623" spans="1:2" ht="12.5" x14ac:dyDescent="0.25">
      <c r="A623" s="1"/>
      <c r="B623" s="1"/>
    </row>
    <row r="624" spans="1:2" ht="12.5" x14ac:dyDescent="0.25">
      <c r="A624" s="1"/>
      <c r="B624" s="1"/>
    </row>
    <row r="625" spans="1:2" ht="12.5" x14ac:dyDescent="0.25">
      <c r="A625" s="1"/>
      <c r="B625" s="1"/>
    </row>
    <row r="626" spans="1:2" ht="12.5" x14ac:dyDescent="0.25">
      <c r="A626" s="1"/>
      <c r="B626" s="1"/>
    </row>
    <row r="627" spans="1:2" ht="12.5" x14ac:dyDescent="0.25">
      <c r="A627" s="1"/>
      <c r="B627" s="1"/>
    </row>
    <row r="628" spans="1:2" ht="12.5" x14ac:dyDescent="0.25">
      <c r="A628" s="1"/>
      <c r="B628" s="1"/>
    </row>
    <row r="629" spans="1:2" ht="12.5" x14ac:dyDescent="0.25">
      <c r="A629" s="1"/>
      <c r="B629" s="1"/>
    </row>
    <row r="630" spans="1:2" ht="12.5" x14ac:dyDescent="0.25">
      <c r="A630" s="1"/>
      <c r="B630" s="1"/>
    </row>
    <row r="631" spans="1:2" ht="12.5" x14ac:dyDescent="0.25">
      <c r="A631" s="1"/>
      <c r="B631" s="1"/>
    </row>
    <row r="632" spans="1:2" ht="12.5" x14ac:dyDescent="0.25">
      <c r="A632" s="1"/>
      <c r="B632" s="1"/>
    </row>
    <row r="633" spans="1:2" ht="12.5" x14ac:dyDescent="0.25">
      <c r="A633" s="1"/>
      <c r="B633" s="1"/>
    </row>
    <row r="634" spans="1:2" ht="12.5" x14ac:dyDescent="0.25">
      <c r="A634" s="1"/>
      <c r="B634" s="1"/>
    </row>
    <row r="635" spans="1:2" ht="12.5" x14ac:dyDescent="0.25">
      <c r="A635" s="1"/>
      <c r="B635" s="1"/>
    </row>
    <row r="636" spans="1:2" ht="12.5" x14ac:dyDescent="0.25">
      <c r="A636" s="1"/>
      <c r="B636" s="1"/>
    </row>
    <row r="637" spans="1:2" ht="12.5" x14ac:dyDescent="0.25">
      <c r="A637" s="1"/>
      <c r="B637" s="1"/>
    </row>
    <row r="638" spans="1:2" ht="12.5" x14ac:dyDescent="0.25">
      <c r="A638" s="1"/>
      <c r="B638" s="1"/>
    </row>
    <row r="639" spans="1:2" ht="12.5" x14ac:dyDescent="0.25">
      <c r="A639" s="1"/>
      <c r="B639" s="1"/>
    </row>
    <row r="640" spans="1:2" ht="12.5" x14ac:dyDescent="0.25">
      <c r="A640" s="1"/>
      <c r="B640" s="1"/>
    </row>
    <row r="641" spans="1:2" ht="12.5" x14ac:dyDescent="0.25">
      <c r="A641" s="1"/>
      <c r="B641" s="1"/>
    </row>
    <row r="642" spans="1:2" ht="12.5" x14ac:dyDescent="0.25">
      <c r="A642" s="1"/>
      <c r="B642" s="1"/>
    </row>
    <row r="643" spans="1:2" ht="12.5" x14ac:dyDescent="0.25">
      <c r="A643" s="1"/>
      <c r="B643" s="1"/>
    </row>
    <row r="644" spans="1:2" ht="12.5" x14ac:dyDescent="0.25">
      <c r="A644" s="1"/>
      <c r="B644" s="1"/>
    </row>
    <row r="645" spans="1:2" ht="12.5" x14ac:dyDescent="0.25">
      <c r="A645" s="1"/>
      <c r="B645" s="1"/>
    </row>
    <row r="646" spans="1:2" ht="12.5" x14ac:dyDescent="0.25">
      <c r="A646" s="1"/>
      <c r="B646" s="1"/>
    </row>
    <row r="647" spans="1:2" ht="12.5" x14ac:dyDescent="0.25">
      <c r="A647" s="1"/>
      <c r="B647" s="1"/>
    </row>
    <row r="648" spans="1:2" ht="12.5" x14ac:dyDescent="0.25">
      <c r="A648" s="1"/>
      <c r="B648" s="1"/>
    </row>
    <row r="649" spans="1:2" ht="12.5" x14ac:dyDescent="0.25">
      <c r="A649" s="1"/>
      <c r="B649" s="1"/>
    </row>
    <row r="650" spans="1:2" ht="12.5" x14ac:dyDescent="0.25">
      <c r="A650" s="1"/>
      <c r="B650" s="1"/>
    </row>
    <row r="651" spans="1:2" ht="12.5" x14ac:dyDescent="0.25">
      <c r="A651" s="1"/>
      <c r="B651" s="1"/>
    </row>
    <row r="652" spans="1:2" ht="12.5" x14ac:dyDescent="0.25">
      <c r="A652" s="1"/>
      <c r="B652" s="1"/>
    </row>
    <row r="653" spans="1:2" ht="12.5" x14ac:dyDescent="0.25">
      <c r="A653" s="1"/>
      <c r="B653" s="1"/>
    </row>
    <row r="654" spans="1:2" ht="12.5" x14ac:dyDescent="0.25">
      <c r="A654" s="1"/>
      <c r="B654" s="1"/>
    </row>
    <row r="655" spans="1:2" ht="12.5" x14ac:dyDescent="0.25">
      <c r="A655" s="1"/>
      <c r="B655" s="1"/>
    </row>
    <row r="656" spans="1:2" ht="12.5" x14ac:dyDescent="0.25">
      <c r="A656" s="1"/>
      <c r="B656" s="1"/>
    </row>
    <row r="657" spans="1:2" ht="12.5" x14ac:dyDescent="0.25">
      <c r="A657" s="1"/>
      <c r="B657" s="1"/>
    </row>
    <row r="658" spans="1:2" ht="12.5" x14ac:dyDescent="0.25">
      <c r="A658" s="1"/>
      <c r="B658" s="1"/>
    </row>
    <row r="659" spans="1:2" ht="12.5" x14ac:dyDescent="0.25">
      <c r="A659" s="1"/>
      <c r="B659" s="1"/>
    </row>
    <row r="660" spans="1:2" ht="12.5" x14ac:dyDescent="0.25">
      <c r="A660" s="1"/>
      <c r="B660" s="1"/>
    </row>
    <row r="661" spans="1:2" ht="12.5" x14ac:dyDescent="0.25">
      <c r="A661" s="1"/>
      <c r="B661" s="1"/>
    </row>
    <row r="662" spans="1:2" ht="12.5" x14ac:dyDescent="0.25">
      <c r="A662" s="1"/>
      <c r="B662" s="1"/>
    </row>
    <row r="663" spans="1:2" ht="12.5" x14ac:dyDescent="0.25">
      <c r="A663" s="1"/>
      <c r="B663" s="1"/>
    </row>
    <row r="664" spans="1:2" ht="12.5" x14ac:dyDescent="0.25">
      <c r="A664" s="1"/>
      <c r="B664" s="1"/>
    </row>
    <row r="665" spans="1:2" ht="12.5" x14ac:dyDescent="0.25">
      <c r="A665" s="1"/>
      <c r="B665" s="1"/>
    </row>
    <row r="666" spans="1:2" ht="12.5" x14ac:dyDescent="0.25">
      <c r="A666" s="1"/>
      <c r="B666" s="1"/>
    </row>
    <row r="667" spans="1:2" ht="12.5" x14ac:dyDescent="0.25">
      <c r="A667" s="1"/>
      <c r="B667" s="1"/>
    </row>
    <row r="668" spans="1:2" ht="12.5" x14ac:dyDescent="0.25">
      <c r="A668" s="1"/>
      <c r="B668" s="1"/>
    </row>
    <row r="669" spans="1:2" ht="12.5" x14ac:dyDescent="0.25">
      <c r="A669" s="1"/>
      <c r="B669" s="1"/>
    </row>
    <row r="670" spans="1:2" ht="12.5" x14ac:dyDescent="0.25">
      <c r="A670" s="1"/>
      <c r="B670" s="1"/>
    </row>
    <row r="671" spans="1:2" ht="12.5" x14ac:dyDescent="0.25">
      <c r="A671" s="1"/>
      <c r="B671" s="1"/>
    </row>
    <row r="672" spans="1:2" ht="12.5" x14ac:dyDescent="0.25">
      <c r="A672" s="1"/>
      <c r="B672" s="1"/>
    </row>
    <row r="673" spans="1:2" ht="12.5" x14ac:dyDescent="0.25">
      <c r="A673" s="1"/>
      <c r="B673" s="1"/>
    </row>
    <row r="674" spans="1:2" ht="12.5" x14ac:dyDescent="0.25">
      <c r="A674" s="1"/>
      <c r="B674" s="1"/>
    </row>
    <row r="675" spans="1:2" ht="12.5" x14ac:dyDescent="0.25">
      <c r="A675" s="1"/>
      <c r="B675" s="1"/>
    </row>
    <row r="676" spans="1:2" ht="12.5" x14ac:dyDescent="0.25">
      <c r="A676" s="1"/>
      <c r="B676" s="1"/>
    </row>
    <row r="677" spans="1:2" ht="12.5" x14ac:dyDescent="0.25">
      <c r="A677" s="1"/>
      <c r="B677" s="1"/>
    </row>
    <row r="678" spans="1:2" ht="12.5" x14ac:dyDescent="0.25">
      <c r="A678" s="1"/>
      <c r="B678" s="1"/>
    </row>
    <row r="679" spans="1:2" ht="12.5" x14ac:dyDescent="0.25">
      <c r="A679" s="1"/>
      <c r="B679" s="1"/>
    </row>
    <row r="680" spans="1:2" ht="12.5" x14ac:dyDescent="0.25">
      <c r="A680" s="1"/>
      <c r="B680" s="1"/>
    </row>
    <row r="681" spans="1:2" ht="12.5" x14ac:dyDescent="0.25">
      <c r="A681" s="1"/>
      <c r="B681" s="1"/>
    </row>
    <row r="682" spans="1:2" ht="12.5" x14ac:dyDescent="0.25">
      <c r="A682" s="1"/>
      <c r="B682" s="1"/>
    </row>
    <row r="683" spans="1:2" ht="12.5" x14ac:dyDescent="0.25">
      <c r="A683" s="1"/>
      <c r="B683" s="1"/>
    </row>
    <row r="684" spans="1:2" ht="12.5" x14ac:dyDescent="0.25">
      <c r="A684" s="1"/>
      <c r="B684" s="1"/>
    </row>
    <row r="685" spans="1:2" ht="12.5" x14ac:dyDescent="0.25">
      <c r="A685" s="1"/>
      <c r="B685" s="1"/>
    </row>
    <row r="686" spans="1:2" ht="12.5" x14ac:dyDescent="0.25">
      <c r="A686" s="1"/>
      <c r="B686" s="1"/>
    </row>
    <row r="687" spans="1:2" ht="12.5" x14ac:dyDescent="0.25">
      <c r="A687" s="1"/>
      <c r="B687" s="1"/>
    </row>
    <row r="688" spans="1:2" ht="12.5" x14ac:dyDescent="0.25">
      <c r="A688" s="1"/>
      <c r="B688" s="1"/>
    </row>
    <row r="689" spans="1:2" ht="12.5" x14ac:dyDescent="0.25">
      <c r="A689" s="1"/>
      <c r="B689" s="1"/>
    </row>
    <row r="690" spans="1:2" ht="12.5" x14ac:dyDescent="0.25">
      <c r="A690" s="1"/>
      <c r="B690" s="1"/>
    </row>
    <row r="691" spans="1:2" ht="12.5" x14ac:dyDescent="0.25">
      <c r="A691" s="1"/>
      <c r="B691" s="1"/>
    </row>
    <row r="692" spans="1:2" ht="12.5" x14ac:dyDescent="0.25">
      <c r="A692" s="1"/>
      <c r="B692" s="1"/>
    </row>
    <row r="693" spans="1:2" ht="12.5" x14ac:dyDescent="0.25">
      <c r="A693" s="1"/>
      <c r="B693" s="1"/>
    </row>
    <row r="694" spans="1:2" ht="12.5" x14ac:dyDescent="0.25">
      <c r="A694" s="1"/>
      <c r="B694" s="1"/>
    </row>
    <row r="695" spans="1:2" ht="12.5" x14ac:dyDescent="0.25">
      <c r="A695" s="1"/>
      <c r="B695" s="1"/>
    </row>
    <row r="696" spans="1:2" ht="12.5" x14ac:dyDescent="0.25">
      <c r="A696" s="1"/>
      <c r="B696" s="1"/>
    </row>
    <row r="697" spans="1:2" ht="12.5" x14ac:dyDescent="0.25">
      <c r="A697" s="1"/>
      <c r="B697" s="1"/>
    </row>
    <row r="698" spans="1:2" ht="12.5" x14ac:dyDescent="0.25">
      <c r="A698" s="1"/>
      <c r="B698" s="1"/>
    </row>
    <row r="699" spans="1:2" ht="12.5" x14ac:dyDescent="0.25">
      <c r="A699" s="1"/>
      <c r="B699" s="1"/>
    </row>
    <row r="700" spans="1:2" ht="12.5" x14ac:dyDescent="0.25">
      <c r="A700" s="1"/>
      <c r="B700" s="1"/>
    </row>
    <row r="701" spans="1:2" ht="12.5" x14ac:dyDescent="0.25">
      <c r="A701" s="1"/>
      <c r="B701" s="1"/>
    </row>
    <row r="702" spans="1:2" ht="12.5" x14ac:dyDescent="0.25">
      <c r="A702" s="1"/>
      <c r="B702" s="1"/>
    </row>
    <row r="703" spans="1:2" ht="12.5" x14ac:dyDescent="0.25">
      <c r="A703" s="1"/>
      <c r="B703" s="1"/>
    </row>
    <row r="704" spans="1:2" ht="12.5" x14ac:dyDescent="0.25">
      <c r="A704" s="1"/>
      <c r="B704" s="1"/>
    </row>
    <row r="705" spans="1:2" ht="12.5" x14ac:dyDescent="0.25">
      <c r="A705" s="1"/>
      <c r="B705" s="1"/>
    </row>
    <row r="706" spans="1:2" ht="12.5" x14ac:dyDescent="0.25">
      <c r="A706" s="1"/>
      <c r="B706" s="1"/>
    </row>
    <row r="707" spans="1:2" ht="12.5" x14ac:dyDescent="0.25">
      <c r="A707" s="1"/>
      <c r="B707" s="1"/>
    </row>
    <row r="708" spans="1:2" ht="12.5" x14ac:dyDescent="0.25">
      <c r="A708" s="1"/>
      <c r="B708" s="1"/>
    </row>
    <row r="709" spans="1:2" ht="12.5" x14ac:dyDescent="0.25">
      <c r="A709" s="1"/>
      <c r="B709" s="1"/>
    </row>
    <row r="710" spans="1:2" ht="12.5" x14ac:dyDescent="0.25">
      <c r="A710" s="1"/>
      <c r="B710" s="1"/>
    </row>
    <row r="711" spans="1:2" ht="12.5" x14ac:dyDescent="0.25">
      <c r="A711" s="1"/>
      <c r="B711" s="1"/>
    </row>
    <row r="712" spans="1:2" ht="12.5" x14ac:dyDescent="0.25">
      <c r="A712" s="1"/>
      <c r="B712" s="1"/>
    </row>
    <row r="713" spans="1:2" ht="12.5" x14ac:dyDescent="0.25">
      <c r="A713" s="1"/>
      <c r="B713" s="1"/>
    </row>
    <row r="714" spans="1:2" ht="12.5" x14ac:dyDescent="0.25">
      <c r="A714" s="1"/>
      <c r="B714" s="1"/>
    </row>
    <row r="715" spans="1:2" ht="12.5" x14ac:dyDescent="0.25">
      <c r="A715" s="1"/>
      <c r="B715" s="1"/>
    </row>
    <row r="716" spans="1:2" ht="12.5" x14ac:dyDescent="0.25">
      <c r="A716" s="1"/>
      <c r="B716" s="1"/>
    </row>
    <row r="717" spans="1:2" ht="12.5" x14ac:dyDescent="0.25">
      <c r="A717" s="1"/>
      <c r="B717" s="1"/>
    </row>
    <row r="718" spans="1:2" ht="12.5" x14ac:dyDescent="0.25">
      <c r="A718" s="1"/>
      <c r="B718" s="1"/>
    </row>
    <row r="719" spans="1:2" ht="12.5" x14ac:dyDescent="0.25">
      <c r="A719" s="1"/>
      <c r="B719" s="1"/>
    </row>
    <row r="720" spans="1:2" ht="12.5" x14ac:dyDescent="0.25">
      <c r="A720" s="1"/>
      <c r="B720" s="1"/>
    </row>
    <row r="721" spans="1:2" ht="12.5" x14ac:dyDescent="0.25">
      <c r="A721" s="1"/>
      <c r="B721" s="1"/>
    </row>
    <row r="722" spans="1:2" ht="12.5" x14ac:dyDescent="0.25">
      <c r="A722" s="1"/>
      <c r="B722" s="1"/>
    </row>
    <row r="723" spans="1:2" ht="12.5" x14ac:dyDescent="0.25">
      <c r="A723" s="1"/>
      <c r="B723" s="1"/>
    </row>
    <row r="724" spans="1:2" ht="12.5" x14ac:dyDescent="0.25">
      <c r="A724" s="1"/>
      <c r="B724" s="1"/>
    </row>
    <row r="725" spans="1:2" ht="12.5" x14ac:dyDescent="0.25">
      <c r="A725" s="1"/>
      <c r="B725" s="1"/>
    </row>
    <row r="726" spans="1:2" ht="12.5" x14ac:dyDescent="0.25">
      <c r="A726" s="1"/>
      <c r="B726" s="1"/>
    </row>
    <row r="727" spans="1:2" ht="12.5" x14ac:dyDescent="0.25">
      <c r="A727" s="1"/>
      <c r="B727" s="1"/>
    </row>
    <row r="728" spans="1:2" ht="12.5" x14ac:dyDescent="0.25">
      <c r="A728" s="1"/>
      <c r="B728" s="1"/>
    </row>
    <row r="729" spans="1:2" ht="12.5" x14ac:dyDescent="0.25">
      <c r="A729" s="1"/>
      <c r="B729" s="1"/>
    </row>
    <row r="730" spans="1:2" ht="12.5" x14ac:dyDescent="0.25">
      <c r="A730" s="1"/>
      <c r="B730" s="1"/>
    </row>
    <row r="731" spans="1:2" ht="12.5" x14ac:dyDescent="0.25">
      <c r="A731" s="1"/>
      <c r="B731" s="1"/>
    </row>
    <row r="732" spans="1:2" ht="12.5" x14ac:dyDescent="0.25">
      <c r="A732" s="1"/>
      <c r="B732" s="1"/>
    </row>
    <row r="733" spans="1:2" ht="12.5" x14ac:dyDescent="0.25">
      <c r="A733" s="1"/>
      <c r="B733" s="1"/>
    </row>
    <row r="734" spans="1:2" ht="12.5" x14ac:dyDescent="0.25">
      <c r="A734" s="1"/>
      <c r="B734" s="1"/>
    </row>
    <row r="735" spans="1:2" ht="12.5" x14ac:dyDescent="0.25">
      <c r="A735" s="1"/>
      <c r="B735" s="1"/>
    </row>
    <row r="736" spans="1:2" ht="12.5" x14ac:dyDescent="0.25">
      <c r="A736" s="1"/>
      <c r="B736" s="1"/>
    </row>
    <row r="737" spans="1:2" ht="12.5" x14ac:dyDescent="0.25">
      <c r="A737" s="1"/>
      <c r="B737" s="1"/>
    </row>
    <row r="738" spans="1:2" ht="12.5" x14ac:dyDescent="0.25">
      <c r="A738" s="1"/>
      <c r="B738" s="1"/>
    </row>
    <row r="739" spans="1:2" ht="12.5" x14ac:dyDescent="0.25">
      <c r="A739" s="1"/>
      <c r="B739" s="1"/>
    </row>
    <row r="740" spans="1:2" ht="12.5" x14ac:dyDescent="0.25">
      <c r="A740" s="1"/>
      <c r="B740" s="1"/>
    </row>
    <row r="741" spans="1:2" ht="12.5" x14ac:dyDescent="0.25">
      <c r="A741" s="1"/>
      <c r="B741" s="1"/>
    </row>
    <row r="742" spans="1:2" ht="12.5" x14ac:dyDescent="0.25">
      <c r="A742" s="1"/>
      <c r="B742" s="1"/>
    </row>
    <row r="743" spans="1:2" ht="12.5" x14ac:dyDescent="0.25">
      <c r="A743" s="1"/>
      <c r="B743" s="1"/>
    </row>
    <row r="744" spans="1:2" ht="12.5" x14ac:dyDescent="0.25">
      <c r="A744" s="1"/>
      <c r="B744" s="1"/>
    </row>
    <row r="745" spans="1:2" ht="12.5" x14ac:dyDescent="0.25">
      <c r="A745" s="1"/>
      <c r="B745" s="1"/>
    </row>
    <row r="746" spans="1:2" ht="12.5" x14ac:dyDescent="0.25">
      <c r="A746" s="1"/>
      <c r="B746" s="1"/>
    </row>
    <row r="747" spans="1:2" ht="12.5" x14ac:dyDescent="0.25">
      <c r="A747" s="1"/>
      <c r="B747" s="1"/>
    </row>
    <row r="748" spans="1:2" ht="12.5" x14ac:dyDescent="0.25">
      <c r="A748" s="1"/>
      <c r="B748" s="1"/>
    </row>
    <row r="749" spans="1:2" ht="12.5" x14ac:dyDescent="0.25">
      <c r="A749" s="1"/>
      <c r="B749" s="1"/>
    </row>
    <row r="750" spans="1:2" ht="12.5" x14ac:dyDescent="0.25">
      <c r="A750" s="1"/>
      <c r="B750" s="1"/>
    </row>
    <row r="751" spans="1:2" ht="12.5" x14ac:dyDescent="0.25">
      <c r="A751" s="1"/>
      <c r="B751" s="1"/>
    </row>
    <row r="752" spans="1:2" ht="12.5" x14ac:dyDescent="0.25">
      <c r="A752" s="1"/>
      <c r="B752" s="1"/>
    </row>
    <row r="753" spans="1:2" ht="12.5" x14ac:dyDescent="0.25">
      <c r="A753" s="1"/>
      <c r="B753" s="1"/>
    </row>
    <row r="754" spans="1:2" ht="12.5" x14ac:dyDescent="0.25">
      <c r="A754" s="1"/>
      <c r="B754" s="1"/>
    </row>
    <row r="755" spans="1:2" ht="12.5" x14ac:dyDescent="0.25">
      <c r="A755" s="1"/>
      <c r="B755" s="1"/>
    </row>
    <row r="756" spans="1:2" ht="12.5" x14ac:dyDescent="0.25">
      <c r="A756" s="1"/>
      <c r="B756" s="1"/>
    </row>
    <row r="757" spans="1:2" ht="12.5" x14ac:dyDescent="0.25">
      <c r="A757" s="1"/>
      <c r="B757" s="1"/>
    </row>
    <row r="758" spans="1:2" ht="12.5" x14ac:dyDescent="0.25">
      <c r="A758" s="1"/>
      <c r="B758" s="1"/>
    </row>
    <row r="759" spans="1:2" ht="12.5" x14ac:dyDescent="0.25">
      <c r="A759" s="1"/>
      <c r="B759" s="1"/>
    </row>
    <row r="760" spans="1:2" ht="12.5" x14ac:dyDescent="0.25">
      <c r="A760" s="1"/>
      <c r="B760" s="1"/>
    </row>
    <row r="761" spans="1:2" ht="12.5" x14ac:dyDescent="0.25">
      <c r="A761" s="1"/>
      <c r="B761" s="1"/>
    </row>
    <row r="762" spans="1:2" ht="12.5" x14ac:dyDescent="0.25">
      <c r="A762" s="1"/>
      <c r="B762" s="1"/>
    </row>
    <row r="763" spans="1:2" ht="12.5" x14ac:dyDescent="0.25">
      <c r="A763" s="1"/>
      <c r="B763" s="1"/>
    </row>
    <row r="764" spans="1:2" ht="12.5" x14ac:dyDescent="0.25">
      <c r="A764" s="1"/>
      <c r="B764" s="1"/>
    </row>
    <row r="765" spans="1:2" ht="12.5" x14ac:dyDescent="0.25">
      <c r="A765" s="1"/>
      <c r="B765" s="1"/>
    </row>
    <row r="766" spans="1:2" ht="12.5" x14ac:dyDescent="0.25">
      <c r="A766" s="1"/>
      <c r="B766" s="1"/>
    </row>
    <row r="767" spans="1:2" ht="12.5" x14ac:dyDescent="0.25">
      <c r="A767" s="1"/>
      <c r="B767" s="1"/>
    </row>
    <row r="768" spans="1:2" ht="12.5" x14ac:dyDescent="0.25">
      <c r="A768" s="1"/>
      <c r="B768" s="1"/>
    </row>
    <row r="769" spans="1:2" ht="12.5" x14ac:dyDescent="0.25">
      <c r="A769" s="1"/>
      <c r="B769" s="1"/>
    </row>
    <row r="770" spans="1:2" ht="12.5" x14ac:dyDescent="0.25">
      <c r="A770" s="1"/>
      <c r="B770" s="1"/>
    </row>
    <row r="771" spans="1:2" ht="12.5" x14ac:dyDescent="0.25">
      <c r="A771" s="1"/>
      <c r="B771" s="1"/>
    </row>
    <row r="772" spans="1:2" ht="12.5" x14ac:dyDescent="0.25">
      <c r="A772" s="1"/>
      <c r="B772" s="1"/>
    </row>
    <row r="773" spans="1:2" ht="12.5" x14ac:dyDescent="0.25">
      <c r="A773" s="1"/>
      <c r="B773" s="1"/>
    </row>
    <row r="774" spans="1:2" ht="12.5" x14ac:dyDescent="0.25">
      <c r="A774" s="1"/>
      <c r="B774" s="1"/>
    </row>
    <row r="775" spans="1:2" ht="12.5" x14ac:dyDescent="0.25">
      <c r="A775" s="1"/>
      <c r="B775" s="1"/>
    </row>
    <row r="776" spans="1:2" ht="12.5" x14ac:dyDescent="0.25">
      <c r="A776" s="1"/>
      <c r="B776" s="1"/>
    </row>
    <row r="777" spans="1:2" ht="12.5" x14ac:dyDescent="0.25">
      <c r="A777" s="1"/>
      <c r="B777" s="1"/>
    </row>
    <row r="778" spans="1:2" ht="12.5" x14ac:dyDescent="0.25">
      <c r="A778" s="1"/>
      <c r="B778" s="1"/>
    </row>
    <row r="779" spans="1:2" ht="12.5" x14ac:dyDescent="0.25">
      <c r="A779" s="1"/>
      <c r="B779" s="1"/>
    </row>
    <row r="780" spans="1:2" ht="12.5" x14ac:dyDescent="0.25">
      <c r="A780" s="1"/>
      <c r="B780" s="1"/>
    </row>
    <row r="781" spans="1:2" ht="12.5" x14ac:dyDescent="0.25">
      <c r="A781" s="1"/>
      <c r="B781" s="1"/>
    </row>
    <row r="782" spans="1:2" ht="12.5" x14ac:dyDescent="0.25">
      <c r="A782" s="1"/>
      <c r="B782" s="1"/>
    </row>
    <row r="783" spans="1:2" ht="12.5" x14ac:dyDescent="0.25">
      <c r="A783" s="1"/>
      <c r="B783" s="1"/>
    </row>
    <row r="784" spans="1:2" ht="12.5" x14ac:dyDescent="0.25">
      <c r="A784" s="1"/>
      <c r="B784" s="1"/>
    </row>
    <row r="785" spans="1:2" ht="12.5" x14ac:dyDescent="0.25">
      <c r="A785" s="1"/>
      <c r="B785" s="1"/>
    </row>
    <row r="786" spans="1:2" ht="12.5" x14ac:dyDescent="0.25">
      <c r="A786" s="1"/>
      <c r="B786" s="1"/>
    </row>
    <row r="787" spans="1:2" ht="12.5" x14ac:dyDescent="0.25">
      <c r="A787" s="1"/>
      <c r="B787" s="1"/>
    </row>
    <row r="788" spans="1:2" ht="12.5" x14ac:dyDescent="0.25">
      <c r="A788" s="1"/>
      <c r="B788" s="1"/>
    </row>
    <row r="789" spans="1:2" ht="12.5" x14ac:dyDescent="0.25">
      <c r="A789" s="1"/>
      <c r="B789" s="1"/>
    </row>
    <row r="790" spans="1:2" ht="12.5" x14ac:dyDescent="0.25">
      <c r="A790" s="1"/>
      <c r="B790" s="1"/>
    </row>
    <row r="791" spans="1:2" ht="12.5" x14ac:dyDescent="0.25">
      <c r="A791" s="1"/>
      <c r="B791" s="1"/>
    </row>
    <row r="792" spans="1:2" ht="12.5" x14ac:dyDescent="0.25">
      <c r="A792" s="1"/>
      <c r="B792" s="1"/>
    </row>
    <row r="793" spans="1:2" ht="12.5" x14ac:dyDescent="0.25">
      <c r="A793" s="1"/>
      <c r="B793" s="1"/>
    </row>
    <row r="794" spans="1:2" ht="12.5" x14ac:dyDescent="0.25">
      <c r="A794" s="1"/>
      <c r="B794" s="1"/>
    </row>
    <row r="795" spans="1:2" ht="12.5" x14ac:dyDescent="0.25">
      <c r="A795" s="1"/>
      <c r="B795" s="1"/>
    </row>
    <row r="796" spans="1:2" ht="12.5" x14ac:dyDescent="0.25">
      <c r="A796" s="1"/>
      <c r="B796" s="1"/>
    </row>
    <row r="797" spans="1:2" ht="12.5" x14ac:dyDescent="0.25">
      <c r="A797" s="1"/>
      <c r="B797" s="1"/>
    </row>
    <row r="798" spans="1:2" ht="12.5" x14ac:dyDescent="0.25">
      <c r="A798" s="1"/>
      <c r="B798" s="1"/>
    </row>
    <row r="799" spans="1:2" ht="12.5" x14ac:dyDescent="0.25">
      <c r="A799" s="1"/>
      <c r="B799" s="1"/>
    </row>
    <row r="800" spans="1:2" ht="12.5" x14ac:dyDescent="0.25">
      <c r="A800" s="1"/>
      <c r="B800" s="1"/>
    </row>
    <row r="801" spans="1:2" ht="12.5" x14ac:dyDescent="0.25">
      <c r="A801" s="1"/>
      <c r="B801" s="1"/>
    </row>
    <row r="802" spans="1:2" ht="12.5" x14ac:dyDescent="0.25">
      <c r="A802" s="1"/>
      <c r="B802" s="1"/>
    </row>
    <row r="803" spans="1:2" ht="12.5" x14ac:dyDescent="0.25">
      <c r="A803" s="1"/>
      <c r="B803" s="1"/>
    </row>
    <row r="804" spans="1:2" ht="12.5" x14ac:dyDescent="0.25">
      <c r="A804" s="1"/>
      <c r="B804" s="1"/>
    </row>
    <row r="805" spans="1:2" ht="12.5" x14ac:dyDescent="0.25">
      <c r="A805" s="1"/>
      <c r="B805" s="1"/>
    </row>
    <row r="806" spans="1:2" ht="12.5" x14ac:dyDescent="0.25">
      <c r="A806" s="1"/>
      <c r="B806" s="1"/>
    </row>
    <row r="807" spans="1:2" ht="12.5" x14ac:dyDescent="0.25">
      <c r="A807" s="1"/>
      <c r="B807" s="1"/>
    </row>
    <row r="808" spans="1:2" ht="12.5" x14ac:dyDescent="0.25">
      <c r="A808" s="1"/>
      <c r="B808" s="1"/>
    </row>
    <row r="809" spans="1:2" ht="12.5" x14ac:dyDescent="0.25">
      <c r="A809" s="1"/>
      <c r="B809" s="1"/>
    </row>
    <row r="810" spans="1:2" ht="12.5" x14ac:dyDescent="0.25">
      <c r="A810" s="1"/>
      <c r="B810" s="1"/>
    </row>
    <row r="811" spans="1:2" ht="12.5" x14ac:dyDescent="0.25">
      <c r="A811" s="1"/>
      <c r="B811" s="1"/>
    </row>
    <row r="812" spans="1:2" ht="12.5" x14ac:dyDescent="0.25">
      <c r="A812" s="1"/>
      <c r="B812" s="1"/>
    </row>
    <row r="813" spans="1:2" ht="12.5" x14ac:dyDescent="0.25">
      <c r="A813" s="1"/>
      <c r="B813" s="1"/>
    </row>
    <row r="814" spans="1:2" ht="12.5" x14ac:dyDescent="0.25">
      <c r="A814" s="1"/>
      <c r="B814" s="1"/>
    </row>
    <row r="815" spans="1:2" ht="12.5" x14ac:dyDescent="0.25">
      <c r="A815" s="1"/>
      <c r="B815" s="1"/>
    </row>
    <row r="816" spans="1:2" ht="12.5" x14ac:dyDescent="0.25">
      <c r="A816" s="1"/>
      <c r="B816" s="1"/>
    </row>
    <row r="817" spans="1:2" ht="12.5" x14ac:dyDescent="0.25">
      <c r="A817" s="1"/>
      <c r="B817" s="1"/>
    </row>
    <row r="818" spans="1:2" ht="12.5" x14ac:dyDescent="0.25">
      <c r="A818" s="1"/>
      <c r="B818" s="1"/>
    </row>
    <row r="819" spans="1:2" ht="12.5" x14ac:dyDescent="0.25">
      <c r="A819" s="1"/>
      <c r="B819" s="1"/>
    </row>
    <row r="820" spans="1:2" ht="12.5" x14ac:dyDescent="0.25">
      <c r="A820" s="1"/>
      <c r="B820" s="1"/>
    </row>
    <row r="821" spans="1:2" ht="12.5" x14ac:dyDescent="0.25">
      <c r="A821" s="1"/>
      <c r="B821" s="1"/>
    </row>
    <row r="822" spans="1:2" ht="12.5" x14ac:dyDescent="0.25">
      <c r="A822" s="1"/>
      <c r="B822" s="1"/>
    </row>
    <row r="823" spans="1:2" ht="12.5" x14ac:dyDescent="0.25">
      <c r="A823" s="1"/>
      <c r="B823" s="1"/>
    </row>
    <row r="824" spans="1:2" ht="12.5" x14ac:dyDescent="0.25">
      <c r="A824" s="1"/>
      <c r="B824" s="1"/>
    </row>
    <row r="825" spans="1:2" ht="12.5" x14ac:dyDescent="0.25">
      <c r="A825" s="1"/>
      <c r="B825" s="1"/>
    </row>
    <row r="826" spans="1:2" ht="12.5" x14ac:dyDescent="0.25">
      <c r="A826" s="1"/>
      <c r="B826" s="1"/>
    </row>
    <row r="827" spans="1:2" ht="12.5" x14ac:dyDescent="0.25">
      <c r="A827" s="1"/>
      <c r="B827" s="1"/>
    </row>
    <row r="828" spans="1:2" ht="12.5" x14ac:dyDescent="0.25">
      <c r="A828" s="1"/>
      <c r="B828" s="1"/>
    </row>
    <row r="829" spans="1:2" ht="12.5" x14ac:dyDescent="0.25">
      <c r="A829" s="1"/>
      <c r="B829" s="1"/>
    </row>
    <row r="830" spans="1:2" ht="12.5" x14ac:dyDescent="0.25">
      <c r="A830" s="1"/>
      <c r="B830" s="1"/>
    </row>
    <row r="831" spans="1:2" ht="12.5" x14ac:dyDescent="0.25">
      <c r="A831" s="1"/>
      <c r="B831" s="1"/>
    </row>
    <row r="832" spans="1:2" ht="12.5" x14ac:dyDescent="0.25">
      <c r="A832" s="1"/>
      <c r="B832" s="1"/>
    </row>
    <row r="833" spans="1:2" ht="12.5" x14ac:dyDescent="0.25">
      <c r="A833" s="1"/>
      <c r="B833" s="1"/>
    </row>
    <row r="834" spans="1:2" ht="12.5" x14ac:dyDescent="0.25">
      <c r="A834" s="1"/>
      <c r="B834" s="1"/>
    </row>
    <row r="835" spans="1:2" ht="12.5" x14ac:dyDescent="0.25">
      <c r="A835" s="1"/>
      <c r="B835" s="1"/>
    </row>
    <row r="836" spans="1:2" ht="12.5" x14ac:dyDescent="0.25">
      <c r="A836" s="1"/>
      <c r="B836" s="1"/>
    </row>
    <row r="837" spans="1:2" ht="12.5" x14ac:dyDescent="0.25">
      <c r="A837" s="1"/>
      <c r="B837" s="1"/>
    </row>
    <row r="838" spans="1:2" ht="12.5" x14ac:dyDescent="0.25">
      <c r="A838" s="1"/>
      <c r="B838" s="1"/>
    </row>
    <row r="839" spans="1:2" ht="12.5" x14ac:dyDescent="0.25">
      <c r="A839" s="1"/>
      <c r="B839" s="1"/>
    </row>
    <row r="840" spans="1:2" ht="12.5" x14ac:dyDescent="0.25">
      <c r="A840" s="1"/>
      <c r="B840" s="1"/>
    </row>
    <row r="841" spans="1:2" ht="12.5" x14ac:dyDescent="0.25">
      <c r="A841" s="1"/>
      <c r="B841" s="1"/>
    </row>
    <row r="842" spans="1:2" ht="12.5" x14ac:dyDescent="0.25">
      <c r="A842" s="1"/>
      <c r="B842" s="1"/>
    </row>
    <row r="843" spans="1:2" ht="12.5" x14ac:dyDescent="0.25">
      <c r="A843" s="1"/>
      <c r="B843" s="1"/>
    </row>
    <row r="844" spans="1:2" ht="12.5" x14ac:dyDescent="0.25">
      <c r="A844" s="1"/>
      <c r="B844" s="1"/>
    </row>
    <row r="845" spans="1:2" ht="12.5" x14ac:dyDescent="0.25">
      <c r="A845" s="1"/>
      <c r="B845" s="1"/>
    </row>
    <row r="846" spans="1:2" ht="12.5" x14ac:dyDescent="0.25">
      <c r="A846" s="1"/>
      <c r="B846" s="1"/>
    </row>
    <row r="847" spans="1:2" ht="12.5" x14ac:dyDescent="0.25">
      <c r="A847" s="1"/>
      <c r="B847" s="1"/>
    </row>
    <row r="848" spans="1:2" ht="12.5" x14ac:dyDescent="0.25">
      <c r="A848" s="1"/>
      <c r="B848" s="1"/>
    </row>
    <row r="849" spans="1:2" ht="12.5" x14ac:dyDescent="0.25">
      <c r="A849" s="1"/>
      <c r="B849" s="1"/>
    </row>
    <row r="850" spans="1:2" ht="12.5" x14ac:dyDescent="0.25">
      <c r="A850" s="1"/>
      <c r="B850" s="1"/>
    </row>
    <row r="851" spans="1:2" ht="12.5" x14ac:dyDescent="0.25">
      <c r="A851" s="1"/>
      <c r="B851" s="1"/>
    </row>
    <row r="852" spans="1:2" ht="12.5" x14ac:dyDescent="0.25">
      <c r="A852" s="1"/>
      <c r="B852" s="1"/>
    </row>
    <row r="853" spans="1:2" ht="12.5" x14ac:dyDescent="0.25">
      <c r="A853" s="1"/>
      <c r="B853" s="1"/>
    </row>
    <row r="854" spans="1:2" ht="12.5" x14ac:dyDescent="0.25">
      <c r="A854" s="1"/>
      <c r="B854" s="1"/>
    </row>
    <row r="855" spans="1:2" ht="12.5" x14ac:dyDescent="0.25">
      <c r="A855" s="1"/>
      <c r="B855" s="1"/>
    </row>
    <row r="856" spans="1:2" ht="12.5" x14ac:dyDescent="0.25">
      <c r="A856" s="1"/>
      <c r="B856" s="1"/>
    </row>
    <row r="857" spans="1:2" ht="12.5" x14ac:dyDescent="0.25">
      <c r="A857" s="1"/>
      <c r="B857" s="1"/>
    </row>
    <row r="858" spans="1:2" ht="12.5" x14ac:dyDescent="0.25">
      <c r="A858" s="1"/>
      <c r="B858" s="1"/>
    </row>
    <row r="859" spans="1:2" ht="12.5" x14ac:dyDescent="0.25">
      <c r="A859" s="1"/>
      <c r="B859" s="1"/>
    </row>
    <row r="860" spans="1:2" ht="12.5" x14ac:dyDescent="0.25">
      <c r="A860" s="1"/>
      <c r="B860" s="1"/>
    </row>
    <row r="861" spans="1:2" ht="12.5" x14ac:dyDescent="0.25">
      <c r="A861" s="1"/>
      <c r="B861" s="1"/>
    </row>
    <row r="862" spans="1:2" ht="12.5" x14ac:dyDescent="0.25">
      <c r="A862" s="1"/>
      <c r="B862" s="1"/>
    </row>
    <row r="863" spans="1:2" ht="12.5" x14ac:dyDescent="0.25">
      <c r="A863" s="1"/>
      <c r="B863" s="1"/>
    </row>
    <row r="864" spans="1:2" ht="12.5" x14ac:dyDescent="0.25">
      <c r="A864" s="1"/>
      <c r="B864" s="1"/>
    </row>
    <row r="865" spans="1:2" ht="12.5" x14ac:dyDescent="0.25">
      <c r="A865" s="1"/>
      <c r="B865" s="1"/>
    </row>
    <row r="866" spans="1:2" ht="12.5" x14ac:dyDescent="0.25">
      <c r="A866" s="1"/>
      <c r="B866" s="1"/>
    </row>
    <row r="867" spans="1:2" ht="12.5" x14ac:dyDescent="0.25">
      <c r="A867" s="1"/>
      <c r="B867" s="1"/>
    </row>
    <row r="868" spans="1:2" ht="12.5" x14ac:dyDescent="0.25">
      <c r="A868" s="1"/>
      <c r="B868" s="1"/>
    </row>
    <row r="869" spans="1:2" ht="12.5" x14ac:dyDescent="0.25">
      <c r="A869" s="1"/>
      <c r="B869" s="1"/>
    </row>
    <row r="870" spans="1:2" ht="12.5" x14ac:dyDescent="0.25">
      <c r="A870" s="1"/>
      <c r="B870" s="1"/>
    </row>
    <row r="871" spans="1:2" ht="12.5" x14ac:dyDescent="0.25">
      <c r="A871" s="1"/>
      <c r="B871" s="1"/>
    </row>
    <row r="872" spans="1:2" ht="12.5" x14ac:dyDescent="0.25">
      <c r="A872" s="1"/>
      <c r="B872" s="1"/>
    </row>
    <row r="873" spans="1:2" ht="12.5" x14ac:dyDescent="0.25">
      <c r="A873" s="1"/>
      <c r="B873" s="1"/>
    </row>
    <row r="874" spans="1:2" ht="12.5" x14ac:dyDescent="0.25">
      <c r="A874" s="1"/>
      <c r="B874" s="1"/>
    </row>
    <row r="875" spans="1:2" ht="12.5" x14ac:dyDescent="0.25">
      <c r="A875" s="1"/>
      <c r="B875" s="1"/>
    </row>
    <row r="876" spans="1:2" ht="12.5" x14ac:dyDescent="0.25">
      <c r="A876" s="1"/>
      <c r="B876" s="1"/>
    </row>
    <row r="877" spans="1:2" ht="12.5" x14ac:dyDescent="0.25">
      <c r="A877" s="1"/>
      <c r="B877" s="1"/>
    </row>
    <row r="878" spans="1:2" ht="12.5" x14ac:dyDescent="0.25">
      <c r="A878" s="1"/>
      <c r="B878" s="1"/>
    </row>
    <row r="879" spans="1:2" ht="12.5" x14ac:dyDescent="0.25">
      <c r="A879" s="1"/>
      <c r="B879" s="1"/>
    </row>
    <row r="880" spans="1:2" ht="12.5" x14ac:dyDescent="0.25">
      <c r="A880" s="1"/>
      <c r="B880" s="1"/>
    </row>
    <row r="881" spans="1:2" ht="12.5" x14ac:dyDescent="0.25">
      <c r="A881" s="1"/>
      <c r="B881" s="1"/>
    </row>
    <row r="882" spans="1:2" ht="12.5" x14ac:dyDescent="0.25">
      <c r="A882" s="1"/>
      <c r="B882" s="1"/>
    </row>
    <row r="883" spans="1:2" ht="12.5" x14ac:dyDescent="0.25">
      <c r="A883" s="1"/>
      <c r="B883" s="1"/>
    </row>
    <row r="884" spans="1:2" ht="12.5" x14ac:dyDescent="0.25">
      <c r="A884" s="1"/>
      <c r="B884" s="1"/>
    </row>
    <row r="885" spans="1:2" ht="12.5" x14ac:dyDescent="0.25">
      <c r="A885" s="1"/>
      <c r="B885" s="1"/>
    </row>
    <row r="886" spans="1:2" ht="12.5" x14ac:dyDescent="0.25">
      <c r="A886" s="1"/>
      <c r="B886" s="1"/>
    </row>
    <row r="887" spans="1:2" ht="12.5" x14ac:dyDescent="0.25">
      <c r="A887" s="1"/>
      <c r="B887" s="1"/>
    </row>
    <row r="888" spans="1:2" ht="12.5" x14ac:dyDescent="0.25">
      <c r="A888" s="1"/>
      <c r="B888" s="1"/>
    </row>
    <row r="889" spans="1:2" ht="12.5" x14ac:dyDescent="0.25">
      <c r="A889" s="1"/>
      <c r="B889" s="1"/>
    </row>
    <row r="890" spans="1:2" ht="12.5" x14ac:dyDescent="0.25">
      <c r="A890" s="1"/>
      <c r="B890" s="1"/>
    </row>
    <row r="891" spans="1:2" ht="12.5" x14ac:dyDescent="0.25">
      <c r="A891" s="1"/>
      <c r="B891" s="1"/>
    </row>
    <row r="892" spans="1:2" ht="12.5" x14ac:dyDescent="0.25">
      <c r="A892" s="1"/>
      <c r="B892" s="1"/>
    </row>
    <row r="893" spans="1:2" ht="12.5" x14ac:dyDescent="0.25">
      <c r="A893" s="1"/>
      <c r="B893" s="1"/>
    </row>
    <row r="894" spans="1:2" ht="12.5" x14ac:dyDescent="0.25">
      <c r="A894" s="1"/>
      <c r="B894" s="1"/>
    </row>
    <row r="895" spans="1:2" ht="12.5" x14ac:dyDescent="0.25">
      <c r="A895" s="1"/>
      <c r="B895" s="1"/>
    </row>
    <row r="896" spans="1:2" ht="12.5" x14ac:dyDescent="0.25">
      <c r="A896" s="1"/>
      <c r="B896" s="1"/>
    </row>
    <row r="897" spans="1:2" ht="12.5" x14ac:dyDescent="0.25">
      <c r="A897" s="1"/>
      <c r="B897" s="1"/>
    </row>
    <row r="898" spans="1:2" ht="12.5" x14ac:dyDescent="0.25">
      <c r="A898" s="1"/>
      <c r="B898" s="1"/>
    </row>
    <row r="899" spans="1:2" ht="12.5" x14ac:dyDescent="0.25">
      <c r="A899" s="1"/>
      <c r="B899" s="1"/>
    </row>
    <row r="900" spans="1:2" ht="12.5" x14ac:dyDescent="0.25">
      <c r="A900" s="1"/>
      <c r="B900" s="1"/>
    </row>
    <row r="901" spans="1:2" ht="12.5" x14ac:dyDescent="0.25">
      <c r="A901" s="1"/>
      <c r="B901" s="1"/>
    </row>
    <row r="902" spans="1:2" ht="12.5" x14ac:dyDescent="0.25">
      <c r="A902" s="1"/>
      <c r="B902" s="1"/>
    </row>
    <row r="903" spans="1:2" ht="12.5" x14ac:dyDescent="0.25">
      <c r="A903" s="1"/>
      <c r="B903" s="1"/>
    </row>
    <row r="904" spans="1:2" ht="12.5" x14ac:dyDescent="0.25">
      <c r="A904" s="1"/>
      <c r="B904" s="1"/>
    </row>
    <row r="905" spans="1:2" ht="12.5" x14ac:dyDescent="0.25">
      <c r="A905" s="1"/>
      <c r="B905" s="1"/>
    </row>
    <row r="906" spans="1:2" ht="12.5" x14ac:dyDescent="0.25">
      <c r="A906" s="1"/>
      <c r="B906" s="1"/>
    </row>
    <row r="907" spans="1:2" ht="12.5" x14ac:dyDescent="0.25">
      <c r="A907" s="1"/>
      <c r="B907" s="1"/>
    </row>
    <row r="908" spans="1:2" ht="12.5" x14ac:dyDescent="0.25">
      <c r="A908" s="1"/>
      <c r="B908" s="1"/>
    </row>
    <row r="909" spans="1:2" ht="12.5" x14ac:dyDescent="0.25">
      <c r="A909" s="1"/>
      <c r="B909" s="1"/>
    </row>
    <row r="910" spans="1:2" ht="12.5" x14ac:dyDescent="0.25">
      <c r="A910" s="1"/>
      <c r="B910" s="1"/>
    </row>
    <row r="911" spans="1:2" ht="12.5" x14ac:dyDescent="0.25">
      <c r="A911" s="1"/>
      <c r="B911" s="1"/>
    </row>
    <row r="912" spans="1:2" ht="12.5" x14ac:dyDescent="0.25">
      <c r="A912" s="1"/>
      <c r="B912" s="1"/>
    </row>
    <row r="913" spans="1:2" ht="12.5" x14ac:dyDescent="0.25">
      <c r="A913" s="1"/>
      <c r="B913" s="1"/>
    </row>
    <row r="914" spans="1:2" ht="12.5" x14ac:dyDescent="0.25">
      <c r="A914" s="1"/>
      <c r="B914" s="1"/>
    </row>
    <row r="915" spans="1:2" ht="12.5" x14ac:dyDescent="0.25">
      <c r="A915" s="1"/>
      <c r="B915" s="1"/>
    </row>
    <row r="916" spans="1:2" ht="12.5" x14ac:dyDescent="0.25">
      <c r="A916" s="1"/>
      <c r="B916" s="1"/>
    </row>
    <row r="917" spans="1:2" ht="12.5" x14ac:dyDescent="0.25">
      <c r="A917" s="1"/>
      <c r="B917" s="1"/>
    </row>
    <row r="918" spans="1:2" ht="12.5" x14ac:dyDescent="0.25">
      <c r="A918" s="1"/>
      <c r="B918" s="1"/>
    </row>
    <row r="919" spans="1:2" ht="12.5" x14ac:dyDescent="0.25">
      <c r="A919" s="1"/>
      <c r="B919" s="1"/>
    </row>
    <row r="920" spans="1:2" ht="12.5" x14ac:dyDescent="0.25">
      <c r="A920" s="1"/>
      <c r="B920" s="1"/>
    </row>
    <row r="921" spans="1:2" ht="12.5" x14ac:dyDescent="0.25">
      <c r="A921" s="1"/>
      <c r="B921" s="1"/>
    </row>
    <row r="922" spans="1:2" ht="12.5" x14ac:dyDescent="0.25">
      <c r="A922" s="1"/>
      <c r="B922" s="1"/>
    </row>
    <row r="923" spans="1:2" ht="12.5" x14ac:dyDescent="0.25">
      <c r="A923" s="1"/>
      <c r="B923" s="1"/>
    </row>
    <row r="924" spans="1:2" ht="12.5" x14ac:dyDescent="0.25">
      <c r="A924" s="1"/>
      <c r="B924" s="1"/>
    </row>
    <row r="925" spans="1:2" ht="12.5" x14ac:dyDescent="0.25">
      <c r="A925" s="1"/>
      <c r="B925" s="1"/>
    </row>
    <row r="926" spans="1:2" ht="12.5" x14ac:dyDescent="0.25">
      <c r="A926" s="1"/>
      <c r="B926" s="1"/>
    </row>
    <row r="927" spans="1:2" ht="12.5" x14ac:dyDescent="0.25">
      <c r="A927" s="1"/>
      <c r="B927" s="1"/>
    </row>
    <row r="928" spans="1:2" ht="12.5" x14ac:dyDescent="0.25">
      <c r="A928" s="1"/>
      <c r="B928" s="1"/>
    </row>
    <row r="929" spans="1:2" ht="12.5" x14ac:dyDescent="0.25">
      <c r="A929" s="1"/>
      <c r="B929" s="1"/>
    </row>
    <row r="930" spans="1:2" ht="12.5" x14ac:dyDescent="0.25">
      <c r="A930" s="1"/>
      <c r="B930" s="1"/>
    </row>
    <row r="931" spans="1:2" ht="12.5" x14ac:dyDescent="0.25">
      <c r="A931" s="1"/>
      <c r="B931" s="1"/>
    </row>
    <row r="932" spans="1:2" ht="12.5" x14ac:dyDescent="0.25">
      <c r="A932" s="1"/>
      <c r="B932" s="1"/>
    </row>
    <row r="933" spans="1:2" ht="12.5" x14ac:dyDescent="0.25">
      <c r="A933" s="1"/>
      <c r="B933" s="1"/>
    </row>
    <row r="934" spans="1:2" ht="12.5" x14ac:dyDescent="0.25">
      <c r="A934" s="1"/>
      <c r="B934" s="1"/>
    </row>
    <row r="935" spans="1:2" ht="12.5" x14ac:dyDescent="0.25">
      <c r="A935" s="1"/>
      <c r="B935" s="1"/>
    </row>
    <row r="936" spans="1:2" ht="12.5" x14ac:dyDescent="0.25">
      <c r="A936" s="1"/>
      <c r="B936" s="1"/>
    </row>
    <row r="937" spans="1:2" ht="12.5" x14ac:dyDescent="0.25">
      <c r="A937" s="1"/>
      <c r="B937" s="1"/>
    </row>
    <row r="938" spans="1:2" ht="12.5" x14ac:dyDescent="0.25">
      <c r="A938" s="1"/>
      <c r="B938" s="1"/>
    </row>
    <row r="939" spans="1:2" ht="12.5" x14ac:dyDescent="0.25">
      <c r="A939" s="1"/>
      <c r="B939" s="1"/>
    </row>
    <row r="940" spans="1:2" ht="12.5" x14ac:dyDescent="0.25">
      <c r="A940" s="1"/>
      <c r="B940" s="1"/>
    </row>
    <row r="941" spans="1:2" ht="12.5" x14ac:dyDescent="0.25">
      <c r="A941" s="1"/>
      <c r="B941" s="1"/>
    </row>
    <row r="942" spans="1:2" ht="12.5" x14ac:dyDescent="0.25">
      <c r="A942" s="1"/>
      <c r="B942" s="1"/>
    </row>
    <row r="943" spans="1:2" ht="12.5" x14ac:dyDescent="0.25">
      <c r="A943" s="1"/>
      <c r="B943" s="1"/>
    </row>
    <row r="944" spans="1:2" ht="12.5" x14ac:dyDescent="0.25">
      <c r="A944" s="1"/>
      <c r="B944" s="1"/>
    </row>
    <row r="945" spans="1:2" ht="12.5" x14ac:dyDescent="0.25">
      <c r="A945" s="1"/>
      <c r="B945" s="1"/>
    </row>
    <row r="946" spans="1:2" ht="12.5" x14ac:dyDescent="0.25">
      <c r="A946" s="1"/>
      <c r="B946" s="1"/>
    </row>
    <row r="947" spans="1:2" ht="12.5" x14ac:dyDescent="0.25">
      <c r="A947" s="1"/>
      <c r="B947" s="1"/>
    </row>
    <row r="948" spans="1:2" ht="12.5" x14ac:dyDescent="0.25">
      <c r="A948" s="1"/>
      <c r="B948" s="1"/>
    </row>
    <row r="949" spans="1:2" ht="12.5" x14ac:dyDescent="0.25">
      <c r="A949" s="1"/>
      <c r="B949" s="1"/>
    </row>
    <row r="950" spans="1:2" ht="12.5" x14ac:dyDescent="0.25">
      <c r="A950" s="1"/>
      <c r="B950" s="1"/>
    </row>
    <row r="951" spans="1:2" ht="12.5" x14ac:dyDescent="0.25">
      <c r="A951" s="1"/>
      <c r="B951" s="1"/>
    </row>
    <row r="952" spans="1:2" ht="12.5" x14ac:dyDescent="0.25">
      <c r="A952" s="1"/>
      <c r="B952" s="1"/>
    </row>
    <row r="953" spans="1:2" ht="12.5" x14ac:dyDescent="0.25">
      <c r="A953" s="1"/>
      <c r="B953" s="1"/>
    </row>
    <row r="954" spans="1:2" ht="12.5" x14ac:dyDescent="0.25">
      <c r="A954" s="1"/>
      <c r="B954" s="1"/>
    </row>
    <row r="955" spans="1:2" ht="12.5" x14ac:dyDescent="0.25">
      <c r="A955" s="1"/>
      <c r="B955" s="1"/>
    </row>
    <row r="956" spans="1:2" ht="12.5" x14ac:dyDescent="0.25">
      <c r="A956" s="1"/>
      <c r="B956" s="1"/>
    </row>
    <row r="957" spans="1:2" ht="12.5" x14ac:dyDescent="0.25">
      <c r="A957" s="1"/>
      <c r="B957" s="1"/>
    </row>
    <row r="958" spans="1:2" ht="12.5" x14ac:dyDescent="0.25">
      <c r="A958" s="1"/>
      <c r="B958" s="1"/>
    </row>
    <row r="959" spans="1:2" ht="12.5" x14ac:dyDescent="0.25">
      <c r="A959" s="1"/>
      <c r="B959" s="1"/>
    </row>
    <row r="960" spans="1:2" ht="12.5" x14ac:dyDescent="0.25">
      <c r="A960" s="1"/>
      <c r="B960" s="1"/>
    </row>
    <row r="961" spans="1:2" ht="12.5" x14ac:dyDescent="0.25">
      <c r="A961" s="1"/>
      <c r="B961" s="1"/>
    </row>
    <row r="962" spans="1:2" ht="12.5" x14ac:dyDescent="0.25">
      <c r="A962" s="1"/>
      <c r="B962" s="1"/>
    </row>
    <row r="963" spans="1:2" ht="12.5" x14ac:dyDescent="0.25">
      <c r="A963" s="1"/>
      <c r="B963" s="1"/>
    </row>
    <row r="964" spans="1:2" ht="12.5" x14ac:dyDescent="0.25">
      <c r="A964" s="1"/>
      <c r="B964" s="1"/>
    </row>
    <row r="965" spans="1:2" ht="12.5" x14ac:dyDescent="0.25">
      <c r="A965" s="1"/>
      <c r="B965" s="1"/>
    </row>
    <row r="966" spans="1:2" ht="12.5" x14ac:dyDescent="0.25">
      <c r="A966" s="1"/>
      <c r="B966" s="1"/>
    </row>
    <row r="967" spans="1:2" ht="12.5" x14ac:dyDescent="0.25">
      <c r="A967" s="1"/>
      <c r="B967" s="1"/>
    </row>
    <row r="968" spans="1:2" ht="12.5" x14ac:dyDescent="0.25">
      <c r="A968" s="1"/>
      <c r="B968" s="1"/>
    </row>
    <row r="969" spans="1:2" ht="12.5" x14ac:dyDescent="0.25">
      <c r="A969" s="1"/>
      <c r="B969" s="1"/>
    </row>
    <row r="970" spans="1:2" ht="12.5" x14ac:dyDescent="0.25">
      <c r="A970" s="1"/>
      <c r="B970" s="1"/>
    </row>
    <row r="971" spans="1:2" ht="12.5" x14ac:dyDescent="0.25">
      <c r="A971" s="1"/>
      <c r="B971" s="1"/>
    </row>
    <row r="972" spans="1:2" ht="12.5" x14ac:dyDescent="0.25">
      <c r="A972" s="1"/>
      <c r="B972" s="1"/>
    </row>
    <row r="973" spans="1:2" ht="12.5" x14ac:dyDescent="0.25">
      <c r="A973" s="1"/>
      <c r="B973" s="1"/>
    </row>
    <row r="974" spans="1:2" ht="12.5" x14ac:dyDescent="0.25">
      <c r="A974" s="1"/>
      <c r="B974" s="1"/>
    </row>
    <row r="975" spans="1:2" ht="12.5" x14ac:dyDescent="0.25">
      <c r="A975" s="1"/>
      <c r="B975" s="1"/>
    </row>
    <row r="976" spans="1:2" ht="12.5" x14ac:dyDescent="0.25">
      <c r="A976" s="1"/>
      <c r="B976" s="1"/>
    </row>
    <row r="977" spans="1:2" ht="12.5" x14ac:dyDescent="0.25">
      <c r="A977" s="1"/>
      <c r="B977" s="1"/>
    </row>
    <row r="978" spans="1:2" ht="12.5" x14ac:dyDescent="0.25">
      <c r="A978" s="1"/>
      <c r="B978" s="1"/>
    </row>
    <row r="979" spans="1:2" ht="12.5" x14ac:dyDescent="0.25">
      <c r="A979" s="1"/>
      <c r="B979" s="1"/>
    </row>
    <row r="980" spans="1:2" ht="12.5" x14ac:dyDescent="0.25">
      <c r="A980" s="1"/>
      <c r="B980" s="1"/>
    </row>
    <row r="981" spans="1:2" ht="12.5" x14ac:dyDescent="0.25">
      <c r="A981" s="1"/>
      <c r="B981" s="1"/>
    </row>
    <row r="982" spans="1:2" ht="12.5" x14ac:dyDescent="0.25">
      <c r="A982" s="1"/>
      <c r="B982" s="1"/>
    </row>
    <row r="983" spans="1:2" ht="12.5" x14ac:dyDescent="0.25">
      <c r="A983" s="1"/>
      <c r="B983" s="1"/>
    </row>
    <row r="984" spans="1:2" ht="12.5" x14ac:dyDescent="0.25">
      <c r="A984" s="1"/>
      <c r="B984" s="1"/>
    </row>
    <row r="985" spans="1:2" ht="12.5" x14ac:dyDescent="0.25">
      <c r="A985" s="1"/>
      <c r="B985" s="1"/>
    </row>
    <row r="986" spans="1:2" ht="12.5" x14ac:dyDescent="0.25">
      <c r="A986" s="1"/>
      <c r="B986" s="1"/>
    </row>
    <row r="987" spans="1:2" ht="12.5" x14ac:dyDescent="0.25">
      <c r="A987" s="1"/>
      <c r="B987" s="1"/>
    </row>
    <row r="988" spans="1:2" ht="12.5" x14ac:dyDescent="0.25">
      <c r="A988" s="1"/>
      <c r="B988" s="1"/>
    </row>
    <row r="989" spans="1:2" ht="12.5" x14ac:dyDescent="0.25">
      <c r="A989" s="1"/>
      <c r="B989" s="1"/>
    </row>
    <row r="990" spans="1:2" ht="12.5" x14ac:dyDescent="0.25">
      <c r="A990" s="1"/>
      <c r="B990" s="1"/>
    </row>
    <row r="991" spans="1:2" ht="12.5" x14ac:dyDescent="0.25">
      <c r="A991" s="1"/>
      <c r="B991" s="1"/>
    </row>
    <row r="992" spans="1:2" ht="12.5" x14ac:dyDescent="0.25">
      <c r="A992" s="1"/>
      <c r="B992" s="1"/>
    </row>
    <row r="993" spans="1:2" ht="12.5" x14ac:dyDescent="0.25">
      <c r="A993" s="1"/>
      <c r="B993" s="1"/>
    </row>
    <row r="994" spans="1:2" ht="12.5" x14ac:dyDescent="0.25">
      <c r="A994" s="1"/>
      <c r="B994" s="1"/>
    </row>
    <row r="995" spans="1:2" ht="12.5" x14ac:dyDescent="0.25">
      <c r="A995" s="1"/>
      <c r="B995" s="1"/>
    </row>
    <row r="996" spans="1:2" ht="12.5" x14ac:dyDescent="0.25">
      <c r="A996" s="1"/>
      <c r="B996" s="1"/>
    </row>
    <row r="997" spans="1:2" ht="12.5" x14ac:dyDescent="0.25">
      <c r="A997" s="1"/>
      <c r="B997" s="1"/>
    </row>
    <row r="998" spans="1:2" ht="12.5" x14ac:dyDescent="0.25">
      <c r="A998" s="1"/>
      <c r="B998" s="1"/>
    </row>
    <row r="999" spans="1:2" ht="12.5" x14ac:dyDescent="0.25">
      <c r="A999" s="1"/>
      <c r="B999" s="1"/>
    </row>
    <row r="1000" spans="1:2" ht="12.5" x14ac:dyDescent="0.25">
      <c r="A1000" s="1"/>
      <c r="B1000" s="1"/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ビンゴ</vt:lpstr>
      <vt:lpstr>画像,乱数</vt:lpstr>
      <vt:lpstr>結果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Arcsecond .</dc:creator>
  <cp:lastModifiedBy>ac</cp:lastModifiedBy>
  <dcterms:created xsi:type="dcterms:W3CDTF">2022-10-04T14:52:52Z</dcterms:created>
  <dcterms:modified xsi:type="dcterms:W3CDTF">2022-10-05T03:25:08Z</dcterms:modified>
</cp:coreProperties>
</file>